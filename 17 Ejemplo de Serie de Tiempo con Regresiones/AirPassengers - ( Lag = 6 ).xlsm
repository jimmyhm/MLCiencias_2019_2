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iguel.hinojosa\Desktop\"/>
    </mc:Choice>
  </mc:AlternateContent>
  <xr:revisionPtr revIDLastSave="0" documentId="13_ncr:1_{FFF78592-8C9A-47F7-9761-BD9820EFA642}" xr6:coauthVersionLast="36" xr6:coauthVersionMax="36" xr10:uidLastSave="{00000000-0000-0000-0000-000000000000}"/>
  <bookViews>
    <workbookView xWindow="0" yWindow="0" windowWidth="23040" windowHeight="9084" activeTab="1" xr2:uid="{55B84D8D-A7B5-4C35-BD98-CA3FD7E7A45D}"/>
  </bookViews>
  <sheets>
    <sheet name="DATOS_MODELO_VAL1" sheetId="1" r:id="rId1"/>
    <sheet name="DATOS_MODELO_VAL2" sheetId="3" r:id="rId2"/>
  </sheets>
  <definedNames>
    <definedName name="solver_adj" localSheetId="0" hidden="1">DATOS_MODELO_VAL1!$D$144:$J$144</definedName>
    <definedName name="solver_adj" localSheetId="1" hidden="1">DATOS_MODELO_VAL2!$D$142:$J$142</definedName>
    <definedName name="solver_cvg" localSheetId="0" hidden="1">0.0001</definedName>
    <definedName name="solver_cvg" localSheetId="1" hidden="1">0.0001</definedName>
    <definedName name="solver_drv" localSheetId="0" hidden="1">1</definedName>
    <definedName name="solver_drv" localSheetId="1" hidden="1">1</definedName>
    <definedName name="solver_eng" localSheetId="0" hidden="1">1</definedName>
    <definedName name="solver_eng" localSheetId="1" hidden="1">1</definedName>
    <definedName name="solver_est" localSheetId="0" hidden="1">1</definedName>
    <definedName name="solver_est" localSheetId="1" hidden="1">1</definedName>
    <definedName name="solver_itr" localSheetId="0" hidden="1">2147483647</definedName>
    <definedName name="solver_itr" localSheetId="1" hidden="1">2147483647</definedName>
    <definedName name="solver_mip" localSheetId="0" hidden="1">2147483647</definedName>
    <definedName name="solver_mip" localSheetId="1" hidden="1">2147483647</definedName>
    <definedName name="solver_mni" localSheetId="0" hidden="1">30</definedName>
    <definedName name="solver_mni" localSheetId="1" hidden="1">30</definedName>
    <definedName name="solver_mrt" localSheetId="0" hidden="1">0.075</definedName>
    <definedName name="solver_mrt" localSheetId="1" hidden="1">0.075</definedName>
    <definedName name="solver_msl" localSheetId="0" hidden="1">2</definedName>
    <definedName name="solver_msl" localSheetId="1" hidden="1">2</definedName>
    <definedName name="solver_neg" localSheetId="0" hidden="1">2</definedName>
    <definedName name="solver_neg" localSheetId="1" hidden="1">2</definedName>
    <definedName name="solver_nod" localSheetId="0" hidden="1">2147483647</definedName>
    <definedName name="solver_nod" localSheetId="1" hidden="1">2147483647</definedName>
    <definedName name="solver_num" localSheetId="0" hidden="1">0</definedName>
    <definedName name="solver_num" localSheetId="1" hidden="1">0</definedName>
    <definedName name="solver_nwt" localSheetId="0" hidden="1">1</definedName>
    <definedName name="solver_nwt" localSheetId="1" hidden="1">1</definedName>
    <definedName name="solver_opt" localSheetId="0" hidden="1">DATOS_MODELO_VAL1!$N$144</definedName>
    <definedName name="solver_opt" localSheetId="1" hidden="1">DATOS_MODELO_VAL2!$N$142</definedName>
    <definedName name="solver_pre" localSheetId="0" hidden="1">0.000001</definedName>
    <definedName name="solver_pre" localSheetId="1" hidden="1">0.000001</definedName>
    <definedName name="solver_rbv" localSheetId="0" hidden="1">1</definedName>
    <definedName name="solver_rbv" localSheetId="1" hidden="1">1</definedName>
    <definedName name="solver_rlx" localSheetId="0" hidden="1">2</definedName>
    <definedName name="solver_rlx" localSheetId="1" hidden="1">2</definedName>
    <definedName name="solver_rsd" localSheetId="0" hidden="1">0</definedName>
    <definedName name="solver_rsd" localSheetId="1" hidden="1">0</definedName>
    <definedName name="solver_scl" localSheetId="0" hidden="1">1</definedName>
    <definedName name="solver_scl" localSheetId="1" hidden="1">1</definedName>
    <definedName name="solver_sho" localSheetId="0" hidden="1">2</definedName>
    <definedName name="solver_sho" localSheetId="1" hidden="1">2</definedName>
    <definedName name="solver_ssz" localSheetId="0" hidden="1">100</definedName>
    <definedName name="solver_ssz" localSheetId="1" hidden="1">100</definedName>
    <definedName name="solver_tim" localSheetId="0" hidden="1">2147483647</definedName>
    <definedName name="solver_tim" localSheetId="1" hidden="1">2147483647</definedName>
    <definedName name="solver_tol" localSheetId="0" hidden="1">0.01</definedName>
    <definedName name="solver_tol" localSheetId="1" hidden="1">0.01</definedName>
    <definedName name="solver_typ" localSheetId="0" hidden="1">2</definedName>
    <definedName name="solver_typ" localSheetId="1" hidden="1">2</definedName>
    <definedName name="solver_val" localSheetId="0" hidden="1">0</definedName>
    <definedName name="solver_val" localSheetId="1" hidden="1">0</definedName>
    <definedName name="solver_ver" localSheetId="0" hidden="1">3</definedName>
    <definedName name="solver_ver" localSheetId="1" hidden="1">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X25" i="3" l="1" a="1"/>
  <c r="X25" i="3"/>
  <c r="X24" i="3" a="1"/>
  <c r="X24" i="3" s="1"/>
  <c r="X23" i="3" a="1"/>
  <c r="X23" i="3"/>
  <c r="X22" i="3"/>
  <c r="D143" i="3" a="1"/>
  <c r="D143" i="3" s="1"/>
  <c r="G143" i="3"/>
  <c r="O142" i="3" a="1"/>
  <c r="N142" i="3" a="1"/>
  <c r="X25" i="1" a="1"/>
  <c r="X25" i="1"/>
  <c r="X24" i="1" a="1"/>
  <c r="X24" i="1"/>
  <c r="X23" i="1" a="1"/>
  <c r="X23" i="1" s="1"/>
  <c r="X22" i="1" a="1"/>
  <c r="X22" i="1" s="1"/>
  <c r="U145" i="1"/>
  <c r="U144" i="1"/>
  <c r="U143" i="1"/>
  <c r="U142" i="1"/>
  <c r="U141" i="1"/>
  <c r="U140" i="1"/>
  <c r="U139" i="1"/>
  <c r="U138" i="1"/>
  <c r="U137" i="1"/>
  <c r="U136" i="1"/>
  <c r="U135" i="1"/>
  <c r="U134" i="1"/>
  <c r="D145" i="1" a="1"/>
  <c r="D145" i="1" s="1"/>
  <c r="G145" i="1"/>
  <c r="O144" i="1" a="1"/>
  <c r="N144" i="1" a="1"/>
  <c r="G130" i="1"/>
  <c r="F131" i="1" s="1"/>
  <c r="E132" i="1" s="1"/>
  <c r="E130" i="1"/>
  <c r="H129" i="1"/>
  <c r="G129" i="1"/>
  <c r="F130" i="1" s="1"/>
  <c r="E131" i="1" s="1"/>
  <c r="F129" i="1"/>
  <c r="E129" i="1"/>
  <c r="J127" i="1"/>
  <c r="J126" i="1"/>
  <c r="J125" i="1"/>
  <c r="J124" i="1"/>
  <c r="J123" i="1"/>
  <c r="J122" i="1"/>
  <c r="I122" i="1"/>
  <c r="H123" i="1" s="1"/>
  <c r="G124" i="1" s="1"/>
  <c r="F125" i="1" s="1"/>
  <c r="E126" i="1" s="1"/>
  <c r="H122" i="1"/>
  <c r="G123" i="1" s="1"/>
  <c r="F124" i="1" s="1"/>
  <c r="E125" i="1" s="1"/>
  <c r="G122" i="1"/>
  <c r="F123" i="1" s="1"/>
  <c r="E124" i="1" s="1"/>
  <c r="F122" i="1"/>
  <c r="E123" i="1" s="1"/>
  <c r="E122" i="1"/>
  <c r="N122" i="3"/>
  <c r="N121" i="3"/>
  <c r="N120" i="3"/>
  <c r="N119" i="3"/>
  <c r="N118" i="3"/>
  <c r="N117" i="3"/>
  <c r="N116" i="3"/>
  <c r="N115" i="3"/>
  <c r="N114" i="3"/>
  <c r="N113" i="3"/>
  <c r="N112" i="3"/>
  <c r="N111" i="3"/>
  <c r="N110" i="3"/>
  <c r="N109" i="3"/>
  <c r="N108" i="3"/>
  <c r="N107" i="3"/>
  <c r="N106" i="3"/>
  <c r="N105" i="3"/>
  <c r="N104" i="3"/>
  <c r="N103" i="3"/>
  <c r="N102" i="3"/>
  <c r="N101" i="3"/>
  <c r="N100" i="3"/>
  <c r="N99" i="3"/>
  <c r="N98" i="3"/>
  <c r="N97" i="3"/>
  <c r="N96" i="3"/>
  <c r="N95" i="3"/>
  <c r="N94" i="3"/>
  <c r="N93" i="3"/>
  <c r="N92" i="3"/>
  <c r="N91" i="3"/>
  <c r="N90" i="3"/>
  <c r="N89" i="3"/>
  <c r="N88" i="3"/>
  <c r="N87" i="3"/>
  <c r="N86" i="3"/>
  <c r="N85" i="3"/>
  <c r="N84" i="3"/>
  <c r="N83" i="3"/>
  <c r="N82" i="3"/>
  <c r="N81" i="3"/>
  <c r="N80" i="3"/>
  <c r="N79" i="3"/>
  <c r="N78" i="3"/>
  <c r="N77" i="3"/>
  <c r="N76" i="3"/>
  <c r="N75" i="3"/>
  <c r="N74" i="3"/>
  <c r="N73" i="3"/>
  <c r="N72" i="3"/>
  <c r="N71" i="3"/>
  <c r="N70" i="3"/>
  <c r="N69" i="3"/>
  <c r="N68" i="3"/>
  <c r="N67" i="3"/>
  <c r="N66" i="3"/>
  <c r="N65" i="3"/>
  <c r="N64" i="3"/>
  <c r="N63" i="3"/>
  <c r="N62" i="3"/>
  <c r="N61" i="3"/>
  <c r="N60" i="3"/>
  <c r="N59" i="3"/>
  <c r="N58" i="3"/>
  <c r="N57" i="3"/>
  <c r="N56" i="3"/>
  <c r="N55" i="3"/>
  <c r="N54" i="3"/>
  <c r="N53" i="3"/>
  <c r="N52" i="3"/>
  <c r="N51" i="3"/>
  <c r="N50" i="3"/>
  <c r="N49" i="3"/>
  <c r="N48" i="3"/>
  <c r="N47" i="3"/>
  <c r="N46" i="3"/>
  <c r="N45" i="3"/>
  <c r="N44" i="3"/>
  <c r="N43" i="3"/>
  <c r="N42" i="3"/>
  <c r="N41" i="3"/>
  <c r="N40" i="3"/>
  <c r="N39" i="3"/>
  <c r="N38" i="3"/>
  <c r="N37" i="3"/>
  <c r="N36" i="3"/>
  <c r="N35" i="3"/>
  <c r="N34" i="3"/>
  <c r="N33" i="3"/>
  <c r="N32" i="3"/>
  <c r="N31" i="3"/>
  <c r="N30" i="3"/>
  <c r="N29" i="3"/>
  <c r="N28" i="3"/>
  <c r="N27" i="3"/>
  <c r="N26" i="3"/>
  <c r="N25" i="3"/>
  <c r="N24" i="3"/>
  <c r="N23" i="3"/>
  <c r="N22" i="3"/>
  <c r="N21" i="3"/>
  <c r="N20" i="3"/>
  <c r="N19" i="3"/>
  <c r="N18" i="3"/>
  <c r="N17" i="3"/>
  <c r="N16" i="3"/>
  <c r="N15" i="3"/>
  <c r="N14" i="3"/>
  <c r="N13" i="3"/>
  <c r="N12" i="3"/>
  <c r="N11" i="3"/>
  <c r="N10" i="3"/>
  <c r="N9" i="3"/>
  <c r="N8" i="3"/>
  <c r="N7" i="3"/>
  <c r="N6" i="3"/>
  <c r="N5" i="3"/>
  <c r="N4" i="3"/>
  <c r="N3" i="3"/>
  <c r="N2" i="3"/>
  <c r="J143" i="3" l="1"/>
  <c r="F143" i="3"/>
  <c r="I143" i="3"/>
  <c r="E143" i="3"/>
  <c r="H143" i="3"/>
  <c r="J145" i="1"/>
  <c r="F145" i="1"/>
  <c r="I145" i="1"/>
  <c r="E145" i="1"/>
  <c r="H145" i="1"/>
  <c r="N121" i="1"/>
  <c r="N120" i="1"/>
  <c r="N119" i="1"/>
  <c r="N118" i="1"/>
  <c r="N117" i="1"/>
  <c r="N116" i="1"/>
  <c r="N115" i="1"/>
  <c r="N114" i="1"/>
  <c r="N113" i="1"/>
  <c r="N112" i="1"/>
  <c r="N111" i="1"/>
  <c r="N110" i="1"/>
  <c r="N109" i="1"/>
  <c r="N108" i="1"/>
  <c r="N107" i="1"/>
  <c r="N106" i="1"/>
  <c r="N105" i="1"/>
  <c r="N104" i="1"/>
  <c r="N103" i="1"/>
  <c r="N102" i="1"/>
  <c r="N101" i="1"/>
  <c r="N100" i="1"/>
  <c r="N99" i="1"/>
  <c r="N98" i="1"/>
  <c r="N97" i="1"/>
  <c r="N96" i="1"/>
  <c r="N95" i="1"/>
  <c r="N94" i="1"/>
  <c r="N93" i="1"/>
  <c r="N92" i="1"/>
  <c r="N91" i="1"/>
  <c r="N90" i="1"/>
  <c r="N89" i="1"/>
  <c r="N88" i="1"/>
  <c r="N87" i="1"/>
  <c r="N86" i="1"/>
  <c r="N85" i="1"/>
  <c r="N84" i="1"/>
  <c r="N83" i="1"/>
  <c r="N82" i="1"/>
  <c r="N81" i="1"/>
  <c r="N80" i="1"/>
  <c r="N79" i="1"/>
  <c r="N78" i="1"/>
  <c r="N77" i="1"/>
  <c r="N76" i="1"/>
  <c r="N75" i="1"/>
  <c r="N74" i="1"/>
  <c r="N73" i="1"/>
  <c r="N72" i="1"/>
  <c r="N71" i="1"/>
  <c r="N70" i="1"/>
  <c r="N69" i="1"/>
  <c r="N68" i="1"/>
  <c r="N67" i="1"/>
  <c r="N66" i="1"/>
  <c r="N65" i="1"/>
  <c r="N64" i="1"/>
  <c r="N63" i="1"/>
  <c r="N62" i="1"/>
  <c r="N61" i="1"/>
  <c r="N60" i="1"/>
  <c r="N59" i="1"/>
  <c r="N58" i="1"/>
  <c r="N57" i="1"/>
  <c r="N56" i="1"/>
  <c r="N55" i="1"/>
  <c r="N54" i="1"/>
  <c r="N53" i="1"/>
  <c r="N52" i="1"/>
  <c r="N51" i="1"/>
  <c r="N50" i="1"/>
  <c r="N49" i="1"/>
  <c r="N48" i="1"/>
  <c r="N47" i="1"/>
  <c r="N46" i="1"/>
  <c r="N45" i="1"/>
  <c r="N44" i="1"/>
  <c r="N43" i="1"/>
  <c r="N42" i="1"/>
  <c r="N41" i="1"/>
  <c r="N40" i="1"/>
  <c r="N39" i="1"/>
  <c r="N38" i="1"/>
  <c r="N37" i="1"/>
  <c r="N36" i="1"/>
  <c r="N35" i="1"/>
  <c r="N34" i="1"/>
  <c r="N33" i="1"/>
  <c r="N32" i="1"/>
  <c r="N31" i="1"/>
  <c r="N30" i="1"/>
  <c r="N29" i="1"/>
  <c r="N28" i="1"/>
  <c r="N27" i="1"/>
  <c r="N26" i="1"/>
  <c r="N25" i="1"/>
  <c r="N24" i="1"/>
  <c r="N23" i="1"/>
  <c r="N22" i="1"/>
  <c r="N21" i="1"/>
  <c r="N20" i="1"/>
  <c r="N19" i="1"/>
  <c r="N18" i="1"/>
  <c r="N17" i="1"/>
  <c r="N16" i="1"/>
  <c r="N15" i="1"/>
  <c r="N14" i="1"/>
  <c r="N13" i="1"/>
  <c r="N12" i="1"/>
  <c r="N11" i="1"/>
  <c r="N10" i="1"/>
  <c r="N9" i="1"/>
  <c r="N8" i="1"/>
  <c r="N7" i="1"/>
  <c r="N6" i="1"/>
  <c r="N5" i="1"/>
  <c r="N4" i="1"/>
  <c r="N3" i="1"/>
  <c r="N2" i="1"/>
  <c r="O121" i="3" l="1"/>
  <c r="T127" i="3" s="1"/>
  <c r="O117" i="3"/>
  <c r="T123" i="3" s="1"/>
  <c r="O113" i="3"/>
  <c r="T119" i="3" s="1"/>
  <c r="O109" i="3"/>
  <c r="T115" i="3" s="1"/>
  <c r="O105" i="3"/>
  <c r="T111" i="3" s="1"/>
  <c r="O101" i="3"/>
  <c r="T107" i="3" s="1"/>
  <c r="O97" i="3"/>
  <c r="T103" i="3" s="1"/>
  <c r="O93" i="3"/>
  <c r="T99" i="3" s="1"/>
  <c r="O89" i="3"/>
  <c r="T95" i="3" s="1"/>
  <c r="O85" i="3"/>
  <c r="T91" i="3" s="1"/>
  <c r="O81" i="3"/>
  <c r="T87" i="3" s="1"/>
  <c r="O77" i="3"/>
  <c r="T83" i="3" s="1"/>
  <c r="O73" i="3"/>
  <c r="T79" i="3" s="1"/>
  <c r="O69" i="3"/>
  <c r="T75" i="3" s="1"/>
  <c r="O65" i="3"/>
  <c r="T71" i="3" s="1"/>
  <c r="O61" i="3"/>
  <c r="T67" i="3" s="1"/>
  <c r="O57" i="3"/>
  <c r="T63" i="3" s="1"/>
  <c r="O53" i="3"/>
  <c r="T59" i="3" s="1"/>
  <c r="O49" i="3"/>
  <c r="T55" i="3" s="1"/>
  <c r="O45" i="3"/>
  <c r="T51" i="3" s="1"/>
  <c r="O41" i="3"/>
  <c r="T47" i="3" s="1"/>
  <c r="O37" i="3"/>
  <c r="T43" i="3" s="1"/>
  <c r="O33" i="3"/>
  <c r="T39" i="3" s="1"/>
  <c r="O29" i="3"/>
  <c r="T35" i="3" s="1"/>
  <c r="O19" i="3"/>
  <c r="T25" i="3" s="1"/>
  <c r="O15" i="3"/>
  <c r="T21" i="3" s="1"/>
  <c r="O116" i="3"/>
  <c r="T122" i="3" s="1"/>
  <c r="O108" i="3"/>
  <c r="T114" i="3" s="1"/>
  <c r="O100" i="3"/>
  <c r="T106" i="3" s="1"/>
  <c r="O92" i="3"/>
  <c r="T98" i="3" s="1"/>
  <c r="O84" i="3"/>
  <c r="T90" i="3" s="1"/>
  <c r="O76" i="3"/>
  <c r="T82" i="3" s="1"/>
  <c r="O68" i="3"/>
  <c r="T74" i="3" s="1"/>
  <c r="O60" i="3"/>
  <c r="T66" i="3" s="1"/>
  <c r="O52" i="3"/>
  <c r="T58" i="3" s="1"/>
  <c r="O44" i="3"/>
  <c r="T50" i="3" s="1"/>
  <c r="O36" i="3"/>
  <c r="T42" i="3" s="1"/>
  <c r="O28" i="3"/>
  <c r="T34" i="3" s="1"/>
  <c r="O23" i="3"/>
  <c r="T29" i="3" s="1"/>
  <c r="O22" i="3"/>
  <c r="T28" i="3" s="1"/>
  <c r="O14" i="3"/>
  <c r="T20" i="3" s="1"/>
  <c r="O12" i="3"/>
  <c r="T18" i="3" s="1"/>
  <c r="O10" i="3"/>
  <c r="T16" i="3" s="1"/>
  <c r="O8" i="3"/>
  <c r="T14" i="3" s="1"/>
  <c r="O6" i="3"/>
  <c r="T12" i="3" s="1"/>
  <c r="O4" i="3"/>
  <c r="T10" i="3" s="1"/>
  <c r="O2" i="3"/>
  <c r="O122" i="3"/>
  <c r="T128" i="3" s="1"/>
  <c r="O119" i="3"/>
  <c r="T125" i="3" s="1"/>
  <c r="O114" i="3"/>
  <c r="T120" i="3" s="1"/>
  <c r="O111" i="3"/>
  <c r="T117" i="3" s="1"/>
  <c r="O106" i="3"/>
  <c r="T112" i="3" s="1"/>
  <c r="O120" i="3"/>
  <c r="T126" i="3" s="1"/>
  <c r="O112" i="3"/>
  <c r="T118" i="3" s="1"/>
  <c r="O104" i="3"/>
  <c r="T110" i="3" s="1"/>
  <c r="O96" i="3"/>
  <c r="T102" i="3" s="1"/>
  <c r="O88" i="3"/>
  <c r="T94" i="3" s="1"/>
  <c r="O80" i="3"/>
  <c r="T86" i="3" s="1"/>
  <c r="O72" i="3"/>
  <c r="T78" i="3" s="1"/>
  <c r="O64" i="3"/>
  <c r="T70" i="3" s="1"/>
  <c r="O56" i="3"/>
  <c r="T62" i="3" s="1"/>
  <c r="O48" i="3"/>
  <c r="T54" i="3" s="1"/>
  <c r="O40" i="3"/>
  <c r="T46" i="3" s="1"/>
  <c r="O32" i="3"/>
  <c r="T38" i="3" s="1"/>
  <c r="O25" i="3"/>
  <c r="T31" i="3" s="1"/>
  <c r="O18" i="3"/>
  <c r="T24" i="3" s="1"/>
  <c r="O13" i="3"/>
  <c r="T19" i="3" s="1"/>
  <c r="O11" i="3"/>
  <c r="T17" i="3" s="1"/>
  <c r="O9" i="3"/>
  <c r="T15" i="3" s="1"/>
  <c r="O7" i="3"/>
  <c r="T13" i="3" s="1"/>
  <c r="O5" i="3"/>
  <c r="T11" i="3" s="1"/>
  <c r="O3" i="3"/>
  <c r="T9" i="3" s="1"/>
  <c r="O118" i="3"/>
  <c r="T124" i="3" s="1"/>
  <c r="O115" i="3"/>
  <c r="T121" i="3" s="1"/>
  <c r="O110" i="3"/>
  <c r="T116" i="3" s="1"/>
  <c r="O107" i="3"/>
  <c r="T113" i="3" s="1"/>
  <c r="O102" i="3"/>
  <c r="T108" i="3" s="1"/>
  <c r="O99" i="3"/>
  <c r="T105" i="3" s="1"/>
  <c r="O94" i="3"/>
  <c r="T100" i="3" s="1"/>
  <c r="O91" i="3"/>
  <c r="T97" i="3" s="1"/>
  <c r="O86" i="3"/>
  <c r="T92" i="3" s="1"/>
  <c r="O83" i="3"/>
  <c r="T89" i="3" s="1"/>
  <c r="O78" i="3"/>
  <c r="T84" i="3" s="1"/>
  <c r="O75" i="3"/>
  <c r="T81" i="3" s="1"/>
  <c r="O70" i="3"/>
  <c r="T76" i="3" s="1"/>
  <c r="O67" i="3"/>
  <c r="T73" i="3" s="1"/>
  <c r="O62" i="3"/>
  <c r="T68" i="3" s="1"/>
  <c r="O59" i="3"/>
  <c r="T65" i="3" s="1"/>
  <c r="O54" i="3"/>
  <c r="T60" i="3" s="1"/>
  <c r="O51" i="3"/>
  <c r="T57" i="3" s="1"/>
  <c r="O46" i="3"/>
  <c r="T52" i="3" s="1"/>
  <c r="O43" i="3"/>
  <c r="T49" i="3" s="1"/>
  <c r="O38" i="3"/>
  <c r="T44" i="3" s="1"/>
  <c r="O35" i="3"/>
  <c r="T41" i="3" s="1"/>
  <c r="O30" i="3"/>
  <c r="T36" i="3" s="1"/>
  <c r="O27" i="3"/>
  <c r="T33" i="3" s="1"/>
  <c r="O24" i="3"/>
  <c r="T30" i="3" s="1"/>
  <c r="O21" i="3"/>
  <c r="T27" i="3" s="1"/>
  <c r="O16" i="3"/>
  <c r="T22" i="3" s="1"/>
  <c r="O103" i="3"/>
  <c r="T109" i="3" s="1"/>
  <c r="O95" i="3"/>
  <c r="T101" i="3" s="1"/>
  <c r="O87" i="3"/>
  <c r="T93" i="3" s="1"/>
  <c r="O79" i="3"/>
  <c r="T85" i="3" s="1"/>
  <c r="O71" i="3"/>
  <c r="T77" i="3" s="1"/>
  <c r="O63" i="3"/>
  <c r="T69" i="3" s="1"/>
  <c r="O55" i="3"/>
  <c r="T61" i="3" s="1"/>
  <c r="O47" i="3"/>
  <c r="T53" i="3" s="1"/>
  <c r="O39" i="3"/>
  <c r="T45" i="3" s="1"/>
  <c r="O31" i="3"/>
  <c r="T37" i="3" s="1"/>
  <c r="O20" i="3"/>
  <c r="T26" i="3" s="1"/>
  <c r="O98" i="3"/>
  <c r="T104" i="3" s="1"/>
  <c r="O90" i="3"/>
  <c r="T96" i="3" s="1"/>
  <c r="O82" i="3"/>
  <c r="T88" i="3" s="1"/>
  <c r="O74" i="3"/>
  <c r="T80" i="3" s="1"/>
  <c r="O66" i="3"/>
  <c r="T72" i="3" s="1"/>
  <c r="O58" i="3"/>
  <c r="T64" i="3" s="1"/>
  <c r="O50" i="3"/>
  <c r="T56" i="3" s="1"/>
  <c r="O42" i="3"/>
  <c r="T48" i="3" s="1"/>
  <c r="O34" i="3"/>
  <c r="T40" i="3" s="1"/>
  <c r="O26" i="3"/>
  <c r="T32" i="3" s="1"/>
  <c r="O17" i="3"/>
  <c r="T23" i="3" s="1"/>
  <c r="O43" i="1"/>
  <c r="T49" i="1" s="1"/>
  <c r="O35" i="1"/>
  <c r="T41" i="1" s="1"/>
  <c r="O79" i="1"/>
  <c r="T85" i="1" s="1"/>
  <c r="T8" i="3" l="1"/>
  <c r="O67" i="1"/>
  <c r="T73" i="1" s="1"/>
  <c r="O99" i="1"/>
  <c r="T105" i="1" s="1"/>
  <c r="O46" i="1"/>
  <c r="T52" i="1" s="1"/>
  <c r="O74" i="1"/>
  <c r="T80" i="1" s="1"/>
  <c r="O66" i="1"/>
  <c r="T72" i="1" s="1"/>
  <c r="O58" i="1"/>
  <c r="T64" i="1" s="1"/>
  <c r="O50" i="1"/>
  <c r="T56" i="1" s="1"/>
  <c r="O42" i="1"/>
  <c r="T48" i="1" s="1"/>
  <c r="O34" i="1"/>
  <c r="T40" i="1" s="1"/>
  <c r="O29" i="1"/>
  <c r="T35" i="1" s="1"/>
  <c r="O27" i="1"/>
  <c r="T33" i="1" s="1"/>
  <c r="O25" i="1"/>
  <c r="T31" i="1" s="1"/>
  <c r="O23" i="1"/>
  <c r="T29" i="1" s="1"/>
  <c r="O21" i="1"/>
  <c r="T27" i="1" s="1"/>
  <c r="O19" i="1"/>
  <c r="T25" i="1" s="1"/>
  <c r="O17" i="1"/>
  <c r="T23" i="1" s="1"/>
  <c r="O15" i="1"/>
  <c r="T21" i="1" s="1"/>
  <c r="O13" i="1"/>
  <c r="T19" i="1" s="1"/>
  <c r="O11" i="1"/>
  <c r="T17" i="1" s="1"/>
  <c r="O9" i="1"/>
  <c r="T15" i="1" s="1"/>
  <c r="O3" i="1"/>
  <c r="T9" i="1" s="1"/>
  <c r="O68" i="1"/>
  <c r="T74" i="1" s="1"/>
  <c r="O60" i="1"/>
  <c r="T66" i="1" s="1"/>
  <c r="O52" i="1"/>
  <c r="T58" i="1" s="1"/>
  <c r="O44" i="1"/>
  <c r="T50" i="1" s="1"/>
  <c r="O36" i="1"/>
  <c r="T42" i="1" s="1"/>
  <c r="O120" i="1"/>
  <c r="T126" i="1" s="1"/>
  <c r="O104" i="1"/>
  <c r="T110" i="1" s="1"/>
  <c r="O88" i="1"/>
  <c r="T94" i="1" s="1"/>
  <c r="O72" i="1"/>
  <c r="T78" i="1" s="1"/>
  <c r="O48" i="1"/>
  <c r="T54" i="1" s="1"/>
  <c r="O32" i="1"/>
  <c r="T38" i="1" s="1"/>
  <c r="O112" i="1"/>
  <c r="T118" i="1" s="1"/>
  <c r="O96" i="1"/>
  <c r="T102" i="1" s="1"/>
  <c r="O80" i="1"/>
  <c r="T86" i="1" s="1"/>
  <c r="O64" i="1"/>
  <c r="T70" i="1" s="1"/>
  <c r="O56" i="1"/>
  <c r="T62" i="1" s="1"/>
  <c r="O40" i="1"/>
  <c r="T46" i="1" s="1"/>
  <c r="O7" i="1"/>
  <c r="T13" i="1" s="1"/>
  <c r="O5" i="1"/>
  <c r="T11" i="1" s="1"/>
  <c r="O33" i="1"/>
  <c r="T39" i="1" s="1"/>
  <c r="O41" i="1"/>
  <c r="T47" i="1" s="1"/>
  <c r="O49" i="1"/>
  <c r="T55" i="1" s="1"/>
  <c r="O57" i="1"/>
  <c r="T63" i="1" s="1"/>
  <c r="O65" i="1"/>
  <c r="T71" i="1" s="1"/>
  <c r="O73" i="1"/>
  <c r="T79" i="1" s="1"/>
  <c r="O81" i="1"/>
  <c r="T87" i="1" s="1"/>
  <c r="O89" i="1"/>
  <c r="T95" i="1" s="1"/>
  <c r="O97" i="1"/>
  <c r="T103" i="1" s="1"/>
  <c r="O105" i="1"/>
  <c r="T111" i="1" s="1"/>
  <c r="O113" i="1"/>
  <c r="T119" i="1" s="1"/>
  <c r="O121" i="1"/>
  <c r="T127" i="1" s="1"/>
  <c r="O98" i="1"/>
  <c r="T104" i="1" s="1"/>
  <c r="O108" i="1"/>
  <c r="T114" i="1" s="1"/>
  <c r="O76" i="1"/>
  <c r="T82" i="1" s="1"/>
  <c r="O86" i="1"/>
  <c r="T92" i="1" s="1"/>
  <c r="O54" i="1"/>
  <c r="T60" i="1" s="1"/>
  <c r="O28" i="1"/>
  <c r="T34" i="1" s="1"/>
  <c r="O20" i="1"/>
  <c r="T26" i="1" s="1"/>
  <c r="O12" i="1"/>
  <c r="T18" i="1" s="1"/>
  <c r="O4" i="1"/>
  <c r="T10" i="1" s="1"/>
  <c r="O59" i="1"/>
  <c r="T65" i="1" s="1"/>
  <c r="O83" i="1"/>
  <c r="T89" i="1" s="1"/>
  <c r="O115" i="1"/>
  <c r="T121" i="1" s="1"/>
  <c r="O100" i="1"/>
  <c r="T106" i="1" s="1"/>
  <c r="O110" i="1"/>
  <c r="T116" i="1" s="1"/>
  <c r="O26" i="1"/>
  <c r="T32" i="1" s="1"/>
  <c r="O18" i="1"/>
  <c r="T24" i="1" s="1"/>
  <c r="O10" i="1"/>
  <c r="T16" i="1" s="1"/>
  <c r="O2" i="1"/>
  <c r="O37" i="1"/>
  <c r="T43" i="1" s="1"/>
  <c r="O45" i="1"/>
  <c r="T51" i="1" s="1"/>
  <c r="O53" i="1"/>
  <c r="T59" i="1" s="1"/>
  <c r="O61" i="1"/>
  <c r="T67" i="1" s="1"/>
  <c r="O69" i="1"/>
  <c r="T75" i="1" s="1"/>
  <c r="O77" i="1"/>
  <c r="T83" i="1" s="1"/>
  <c r="O85" i="1"/>
  <c r="T91" i="1" s="1"/>
  <c r="O93" i="1"/>
  <c r="T99" i="1" s="1"/>
  <c r="O101" i="1"/>
  <c r="T107" i="1" s="1"/>
  <c r="O109" i="1"/>
  <c r="T115" i="1" s="1"/>
  <c r="O117" i="1"/>
  <c r="T123" i="1" s="1"/>
  <c r="O114" i="1"/>
  <c r="T120" i="1" s="1"/>
  <c r="O82" i="1"/>
  <c r="T88" i="1" s="1"/>
  <c r="O92" i="1"/>
  <c r="T98" i="1" s="1"/>
  <c r="O102" i="1"/>
  <c r="T108" i="1" s="1"/>
  <c r="O70" i="1"/>
  <c r="T76" i="1" s="1"/>
  <c r="O38" i="1"/>
  <c r="T44" i="1" s="1"/>
  <c r="O24" i="1"/>
  <c r="T30" i="1" s="1"/>
  <c r="O16" i="1"/>
  <c r="T22" i="1" s="1"/>
  <c r="O8" i="1"/>
  <c r="T14" i="1" s="1"/>
  <c r="O51" i="1"/>
  <c r="T57" i="1" s="1"/>
  <c r="O75" i="1"/>
  <c r="T81" i="1" s="1"/>
  <c r="O91" i="1"/>
  <c r="T97" i="1" s="1"/>
  <c r="O107" i="1"/>
  <c r="T113" i="1" s="1"/>
  <c r="O90" i="1"/>
  <c r="T96" i="1" s="1"/>
  <c r="O78" i="1"/>
  <c r="T84" i="1" s="1"/>
  <c r="O31" i="1"/>
  <c r="T37" i="1" s="1"/>
  <c r="O39" i="1"/>
  <c r="T45" i="1" s="1"/>
  <c r="O47" i="1"/>
  <c r="T53" i="1" s="1"/>
  <c r="O55" i="1"/>
  <c r="T61" i="1" s="1"/>
  <c r="O63" i="1"/>
  <c r="T69" i="1" s="1"/>
  <c r="O71" i="1"/>
  <c r="T77" i="1" s="1"/>
  <c r="O87" i="1"/>
  <c r="T93" i="1" s="1"/>
  <c r="O95" i="1"/>
  <c r="T101" i="1" s="1"/>
  <c r="O103" i="1"/>
  <c r="T109" i="1" s="1"/>
  <c r="O111" i="1"/>
  <c r="T117" i="1" s="1"/>
  <c r="O119" i="1"/>
  <c r="T125" i="1" s="1"/>
  <c r="O106" i="1"/>
  <c r="T112" i="1" s="1"/>
  <c r="O116" i="1"/>
  <c r="T122" i="1" s="1"/>
  <c r="O84" i="1"/>
  <c r="T90" i="1" s="1"/>
  <c r="O94" i="1"/>
  <c r="T100" i="1" s="1"/>
  <c r="O62" i="1"/>
  <c r="T68" i="1" s="1"/>
  <c r="O30" i="1"/>
  <c r="T36" i="1" s="1"/>
  <c r="O22" i="1"/>
  <c r="T28" i="1" s="1"/>
  <c r="O14" i="1"/>
  <c r="T20" i="1" s="1"/>
  <c r="O6" i="1"/>
  <c r="T12" i="1" s="1"/>
  <c r="O118" i="1"/>
  <c r="T124" i="1" s="1"/>
  <c r="T8" i="1" l="1"/>
  <c r="N123" i="3"/>
  <c r="O123" i="3"/>
  <c r="T129" i="3" l="1"/>
  <c r="I123" i="1"/>
  <c r="H124" i="1" s="1"/>
  <c r="G125" i="1" s="1"/>
  <c r="F126" i="1" s="1"/>
  <c r="E127" i="1" s="1"/>
  <c r="N122" i="1"/>
  <c r="O122" i="1"/>
  <c r="T128" i="1" l="1"/>
  <c r="I124" i="1"/>
  <c r="H125" i="1" s="1"/>
  <c r="G126" i="1" s="1"/>
  <c r="F127" i="1" s="1"/>
  <c r="E128" i="1" s="1"/>
  <c r="N124" i="3"/>
  <c r="O124" i="3"/>
  <c r="T130" i="3" l="1"/>
  <c r="O123" i="1"/>
  <c r="N123" i="1"/>
  <c r="T129" i="1" l="1"/>
  <c r="I125" i="1"/>
  <c r="H126" i="1" s="1"/>
  <c r="G127" i="1" s="1"/>
  <c r="F128" i="1" s="1"/>
  <c r="O125" i="3"/>
  <c r="N125" i="3"/>
  <c r="T131" i="3" l="1"/>
  <c r="O124" i="1"/>
  <c r="N124" i="1"/>
  <c r="N126" i="3"/>
  <c r="T130" i="1" l="1"/>
  <c r="I126" i="1"/>
  <c r="H127" i="1" s="1"/>
  <c r="G128" i="1" s="1"/>
  <c r="O126" i="3"/>
  <c r="T132" i="3" l="1"/>
  <c r="N125" i="1"/>
  <c r="O125" i="1"/>
  <c r="O127" i="3"/>
  <c r="T133" i="3" s="1"/>
  <c r="N127" i="3"/>
  <c r="Y24" i="3" l="1"/>
  <c r="Y25" i="3"/>
  <c r="T131" i="1"/>
  <c r="N128" i="3"/>
  <c r="O128" i="3"/>
  <c r="E134" i="3" l="1"/>
  <c r="T134" i="3"/>
  <c r="Y23" i="3"/>
  <c r="N126" i="1"/>
  <c r="I127" i="1"/>
  <c r="H128" i="1" s="1"/>
  <c r="O126" i="1"/>
  <c r="N129" i="3"/>
  <c r="O129" i="3"/>
  <c r="T135" i="3" s="1"/>
  <c r="T132" i="1" l="1"/>
  <c r="I128" i="1"/>
  <c r="N130" i="3"/>
  <c r="O130" i="3"/>
  <c r="T136" i="3" s="1"/>
  <c r="N127" i="1" l="1"/>
  <c r="N144" i="1" s="1"/>
  <c r="O127" i="1"/>
  <c r="G134" i="3"/>
  <c r="F135" i="3" s="1"/>
  <c r="E136" i="3" s="1"/>
  <c r="J128" i="1" l="1"/>
  <c r="I129" i="1" s="1"/>
  <c r="H130" i="1" s="1"/>
  <c r="G131" i="1" s="1"/>
  <c r="F132" i="1" s="1"/>
  <c r="E133" i="1" s="1"/>
  <c r="O144" i="1"/>
  <c r="T133" i="1"/>
  <c r="N131" i="3"/>
  <c r="O131" i="3"/>
  <c r="T137" i="3" s="1"/>
  <c r="O128" i="1" l="1"/>
  <c r="J129" i="1" s="1"/>
  <c r="I130" i="1" s="1"/>
  <c r="H131" i="1" s="1"/>
  <c r="G132" i="1" s="1"/>
  <c r="F133" i="1" s="1"/>
  <c r="E134" i="1" s="1"/>
  <c r="N128" i="1"/>
  <c r="Y25" i="1"/>
  <c r="Y24" i="1"/>
  <c r="F134" i="3"/>
  <c r="Y23" i="1" l="1"/>
  <c r="E135" i="3"/>
  <c r="N132" i="3"/>
  <c r="O132" i="3"/>
  <c r="T138" i="3" s="1"/>
  <c r="N129" i="1" l="1"/>
  <c r="O129" i="1"/>
  <c r="H134" i="3"/>
  <c r="I134" i="3"/>
  <c r="H135" i="3" s="1"/>
  <c r="G136" i="3" s="1"/>
  <c r="F137" i="3" s="1"/>
  <c r="E138" i="3" s="1"/>
  <c r="J130" i="1" l="1"/>
  <c r="G135" i="3"/>
  <c r="N133" i="3"/>
  <c r="N142" i="3" s="1"/>
  <c r="O133" i="3"/>
  <c r="T139" i="3" l="1"/>
  <c r="O142" i="3"/>
  <c r="I131" i="1"/>
  <c r="N130" i="1"/>
  <c r="O130" i="1"/>
  <c r="F136" i="3"/>
  <c r="H132" i="1" l="1"/>
  <c r="J131" i="1"/>
  <c r="I132" i="1" s="1"/>
  <c r="H133" i="1" s="1"/>
  <c r="G134" i="1" s="1"/>
  <c r="F135" i="1" s="1"/>
  <c r="E136" i="1" s="1"/>
  <c r="E137" i="3"/>
  <c r="J134" i="3"/>
  <c r="N131" i="1" l="1"/>
  <c r="O131" i="1"/>
  <c r="G133" i="1"/>
  <c r="I135" i="3"/>
  <c r="O134" i="3"/>
  <c r="N134" i="3"/>
  <c r="J135" i="3" l="1"/>
  <c r="I136" i="3" s="1"/>
  <c r="H137" i="3" s="1"/>
  <c r="G138" i="3" s="1"/>
  <c r="F139" i="3" s="1"/>
  <c r="U140" i="3"/>
  <c r="J132" i="1"/>
  <c r="I133" i="1" s="1"/>
  <c r="H134" i="1" s="1"/>
  <c r="G135" i="1" s="1"/>
  <c r="F136" i="1" s="1"/>
  <c r="E137" i="1" s="1"/>
  <c r="O132" i="1"/>
  <c r="J133" i="1" s="1"/>
  <c r="N132" i="1"/>
  <c r="F134" i="1"/>
  <c r="H136" i="3"/>
  <c r="O135" i="3"/>
  <c r="J136" i="3" l="1"/>
  <c r="I137" i="3" s="1"/>
  <c r="H138" i="3" s="1"/>
  <c r="G139" i="3" s="1"/>
  <c r="U141" i="3"/>
  <c r="N135" i="3"/>
  <c r="I134" i="1"/>
  <c r="H135" i="1" s="1"/>
  <c r="G136" i="1" s="1"/>
  <c r="O133" i="1"/>
  <c r="N133" i="1"/>
  <c r="E135" i="1"/>
  <c r="G137" i="3"/>
  <c r="O136" i="3"/>
  <c r="N136" i="3"/>
  <c r="J137" i="3" l="1"/>
  <c r="I138" i="3" s="1"/>
  <c r="H139" i="3" s="1"/>
  <c r="U142" i="3"/>
  <c r="F137" i="1"/>
  <c r="J134" i="1"/>
  <c r="F138" i="3"/>
  <c r="O137" i="3"/>
  <c r="N137" i="3"/>
  <c r="J138" i="3" l="1"/>
  <c r="I139" i="3" s="1"/>
  <c r="U143" i="3"/>
  <c r="E138" i="1"/>
  <c r="I135" i="1"/>
  <c r="N134" i="1"/>
  <c r="O134" i="1"/>
  <c r="J135" i="1" s="1"/>
  <c r="I136" i="1" s="1"/>
  <c r="H137" i="1" s="1"/>
  <c r="G138" i="1" s="1"/>
  <c r="F139" i="1" s="1"/>
  <c r="E139" i="3"/>
  <c r="O138" i="3"/>
  <c r="N138" i="3" l="1"/>
  <c r="J139" i="3"/>
  <c r="N139" i="3" s="1"/>
  <c r="U144" i="3"/>
  <c r="H136" i="1"/>
  <c r="O135" i="1"/>
  <c r="J136" i="1" s="1"/>
  <c r="I137" i="1" s="1"/>
  <c r="H138" i="1" s="1"/>
  <c r="G139" i="1" s="1"/>
  <c r="N135" i="1"/>
  <c r="O139" i="3"/>
  <c r="U145" i="3" s="1"/>
  <c r="G137" i="1" l="1"/>
  <c r="N136" i="1"/>
  <c r="O136" i="1"/>
  <c r="J137" i="1" s="1"/>
  <c r="I138" i="1" s="1"/>
  <c r="H139" i="1" s="1"/>
  <c r="F138" i="1" l="1"/>
  <c r="O137" i="1"/>
  <c r="J138" i="1" s="1"/>
  <c r="I139" i="1" s="1"/>
  <c r="N137" i="1"/>
  <c r="E139" i="1" l="1"/>
  <c r="O138" i="1"/>
  <c r="J139" i="1" s="1"/>
  <c r="N138" i="1"/>
  <c r="O139" i="1" l="1"/>
  <c r="N139" i="1"/>
</calcChain>
</file>

<file path=xl/sharedStrings.xml><?xml version="1.0" encoding="utf-8"?>
<sst xmlns="http://schemas.openxmlformats.org/spreadsheetml/2006/main" count="64" uniqueCount="30">
  <si>
    <t>FECHA</t>
  </si>
  <si>
    <t>PASAJEROS</t>
  </si>
  <si>
    <t>b0</t>
  </si>
  <si>
    <t>b1</t>
  </si>
  <si>
    <t>b2</t>
  </si>
  <si>
    <t>b3</t>
  </si>
  <si>
    <t>b4</t>
  </si>
  <si>
    <t>b5</t>
  </si>
  <si>
    <t>b6</t>
  </si>
  <si>
    <t>y</t>
  </si>
  <si>
    <t>x0</t>
  </si>
  <si>
    <t>x1</t>
  </si>
  <si>
    <t>x2</t>
  </si>
  <si>
    <t>x3</t>
  </si>
  <si>
    <t>x4</t>
  </si>
  <si>
    <t>x5</t>
  </si>
  <si>
    <t>x6</t>
  </si>
  <si>
    <t>Costo</t>
  </si>
  <si>
    <t>y_hat_solver</t>
  </si>
  <si>
    <t>y_hat_reales</t>
  </si>
  <si>
    <t>Solver</t>
  </si>
  <si>
    <t>Algebraico</t>
  </si>
  <si>
    <t>Real</t>
  </si>
  <si>
    <t>Modelo</t>
  </si>
  <si>
    <t>Media</t>
  </si>
  <si>
    <t>SCT</t>
  </si>
  <si>
    <t>SCR</t>
  </si>
  <si>
    <t>SCE</t>
  </si>
  <si>
    <t>Var.Exp</t>
  </si>
  <si>
    <t>Pronostico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</si>
</sst>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6">
    <xf numFmtId="0" fontId="0" fillId="0" borderId="0" xfId="0"/>
    <xf numFmtId="0" fontId="1" fillId="2" borderId="1" xfId="0" applyFont="1" applyFill="1" applyBorder="1"/>
    <xf numFmtId="14" fontId="0" fillId="0" borderId="1" xfId="0" applyNumberFormat="1" applyBorder="1"/>
    <xf numFmtId="0" fontId="0" fillId="0" borderId="1" xfId="0" applyBorder="1"/>
    <xf numFmtId="14" fontId="0" fillId="3" borderId="1" xfId="0" applyNumberFormat="1" applyFill="1" applyBorder="1"/>
    <xf numFmtId="0" fontId="0" fillId="3" borderId="1" xfId="0" applyFill="1" applyBorder="1"/>
    <xf numFmtId="0" fontId="2" fillId="0" borderId="0" xfId="0" applyFont="1"/>
    <xf numFmtId="0" fontId="1" fillId="2" borderId="0" xfId="0" applyFont="1" applyFill="1" applyBorder="1"/>
    <xf numFmtId="0" fontId="0" fillId="4" borderId="1" xfId="0" applyFill="1" applyBorder="1"/>
    <xf numFmtId="0" fontId="0" fillId="0" borderId="1" xfId="0" applyFill="1" applyBorder="1"/>
    <xf numFmtId="0" fontId="0" fillId="0" borderId="0" xfId="0" applyFill="1"/>
    <xf numFmtId="14" fontId="0" fillId="0" borderId="1" xfId="0" applyNumberFormat="1" applyFill="1" applyBorder="1"/>
    <xf numFmtId="0" fontId="0" fillId="5" borderId="1" xfId="0" applyFill="1" applyBorder="1"/>
    <xf numFmtId="0" fontId="0" fillId="0" borderId="1" xfId="0" quotePrefix="1" applyBorder="1"/>
    <xf numFmtId="14" fontId="0" fillId="6" borderId="1" xfId="0" applyNumberFormat="1" applyFill="1" applyBorder="1"/>
    <xf numFmtId="0" fontId="0" fillId="6" borderId="1" xfId="0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VALIDACION</a:t>
            </a:r>
            <a:r>
              <a:rPr lang="en-US" baseline="0"/>
              <a:t> DEL MODELO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DATOS_MODELO_VAL1!$S$1</c:f>
              <c:strCache>
                <c:ptCount val="1"/>
                <c:pt idx="0">
                  <c:v>Real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DATOS_MODELO_VAL1!$R$2:$R$145</c:f>
              <c:numCache>
                <c:formatCode>m/d/yyyy</c:formatCode>
                <c:ptCount val="144"/>
                <c:pt idx="0">
                  <c:v>17899</c:v>
                </c:pt>
                <c:pt idx="1">
                  <c:v>17930</c:v>
                </c:pt>
                <c:pt idx="2">
                  <c:v>17958</c:v>
                </c:pt>
                <c:pt idx="3">
                  <c:v>17989</c:v>
                </c:pt>
                <c:pt idx="4">
                  <c:v>18019</c:v>
                </c:pt>
                <c:pt idx="5">
                  <c:v>18050</c:v>
                </c:pt>
                <c:pt idx="6">
                  <c:v>18080</c:v>
                </c:pt>
                <c:pt idx="7">
                  <c:v>18111</c:v>
                </c:pt>
                <c:pt idx="8">
                  <c:v>18142</c:v>
                </c:pt>
                <c:pt idx="9">
                  <c:v>18172</c:v>
                </c:pt>
                <c:pt idx="10">
                  <c:v>18203</c:v>
                </c:pt>
                <c:pt idx="11">
                  <c:v>18233</c:v>
                </c:pt>
                <c:pt idx="12">
                  <c:v>18264</c:v>
                </c:pt>
                <c:pt idx="13">
                  <c:v>18295</c:v>
                </c:pt>
                <c:pt idx="14">
                  <c:v>18323</c:v>
                </c:pt>
                <c:pt idx="15">
                  <c:v>18354</c:v>
                </c:pt>
                <c:pt idx="16">
                  <c:v>18384</c:v>
                </c:pt>
                <c:pt idx="17">
                  <c:v>18415</c:v>
                </c:pt>
                <c:pt idx="18">
                  <c:v>18445</c:v>
                </c:pt>
                <c:pt idx="19">
                  <c:v>18476</c:v>
                </c:pt>
                <c:pt idx="20">
                  <c:v>18507</c:v>
                </c:pt>
                <c:pt idx="21">
                  <c:v>18537</c:v>
                </c:pt>
                <c:pt idx="22">
                  <c:v>18568</c:v>
                </c:pt>
                <c:pt idx="23">
                  <c:v>18598</c:v>
                </c:pt>
                <c:pt idx="24">
                  <c:v>18629</c:v>
                </c:pt>
                <c:pt idx="25">
                  <c:v>18660</c:v>
                </c:pt>
                <c:pt idx="26">
                  <c:v>18688</c:v>
                </c:pt>
                <c:pt idx="27">
                  <c:v>18719</c:v>
                </c:pt>
                <c:pt idx="28">
                  <c:v>18749</c:v>
                </c:pt>
                <c:pt idx="29">
                  <c:v>18780</c:v>
                </c:pt>
                <c:pt idx="30">
                  <c:v>18810</c:v>
                </c:pt>
                <c:pt idx="31">
                  <c:v>18841</c:v>
                </c:pt>
                <c:pt idx="32">
                  <c:v>18872</c:v>
                </c:pt>
                <c:pt idx="33">
                  <c:v>18902</c:v>
                </c:pt>
                <c:pt idx="34">
                  <c:v>18933</c:v>
                </c:pt>
                <c:pt idx="35">
                  <c:v>18963</c:v>
                </c:pt>
                <c:pt idx="36">
                  <c:v>18994</c:v>
                </c:pt>
                <c:pt idx="37">
                  <c:v>19025</c:v>
                </c:pt>
                <c:pt idx="38">
                  <c:v>19054</c:v>
                </c:pt>
                <c:pt idx="39">
                  <c:v>19085</c:v>
                </c:pt>
                <c:pt idx="40">
                  <c:v>19115</c:v>
                </c:pt>
                <c:pt idx="41">
                  <c:v>19146</c:v>
                </c:pt>
                <c:pt idx="42">
                  <c:v>19176</c:v>
                </c:pt>
                <c:pt idx="43">
                  <c:v>19207</c:v>
                </c:pt>
                <c:pt idx="44">
                  <c:v>19238</c:v>
                </c:pt>
                <c:pt idx="45">
                  <c:v>19268</c:v>
                </c:pt>
                <c:pt idx="46">
                  <c:v>19299</c:v>
                </c:pt>
                <c:pt idx="47">
                  <c:v>19329</c:v>
                </c:pt>
                <c:pt idx="48">
                  <c:v>19360</c:v>
                </c:pt>
                <c:pt idx="49">
                  <c:v>19391</c:v>
                </c:pt>
                <c:pt idx="50">
                  <c:v>19419</c:v>
                </c:pt>
                <c:pt idx="51">
                  <c:v>19450</c:v>
                </c:pt>
                <c:pt idx="52">
                  <c:v>19480</c:v>
                </c:pt>
                <c:pt idx="53">
                  <c:v>19511</c:v>
                </c:pt>
                <c:pt idx="54">
                  <c:v>19541</c:v>
                </c:pt>
                <c:pt idx="55">
                  <c:v>19572</c:v>
                </c:pt>
                <c:pt idx="56">
                  <c:v>19603</c:v>
                </c:pt>
                <c:pt idx="57">
                  <c:v>19633</c:v>
                </c:pt>
                <c:pt idx="58">
                  <c:v>19664</c:v>
                </c:pt>
                <c:pt idx="59">
                  <c:v>19694</c:v>
                </c:pt>
                <c:pt idx="60">
                  <c:v>19725</c:v>
                </c:pt>
                <c:pt idx="61">
                  <c:v>19756</c:v>
                </c:pt>
                <c:pt idx="62">
                  <c:v>19784</c:v>
                </c:pt>
                <c:pt idx="63">
                  <c:v>19815</c:v>
                </c:pt>
                <c:pt idx="64">
                  <c:v>19845</c:v>
                </c:pt>
                <c:pt idx="65">
                  <c:v>19876</c:v>
                </c:pt>
                <c:pt idx="66">
                  <c:v>19906</c:v>
                </c:pt>
                <c:pt idx="67">
                  <c:v>19937</c:v>
                </c:pt>
                <c:pt idx="68">
                  <c:v>19968</c:v>
                </c:pt>
                <c:pt idx="69">
                  <c:v>19998</c:v>
                </c:pt>
                <c:pt idx="70">
                  <c:v>20029</c:v>
                </c:pt>
                <c:pt idx="71">
                  <c:v>20059</c:v>
                </c:pt>
                <c:pt idx="72">
                  <c:v>20090</c:v>
                </c:pt>
                <c:pt idx="73">
                  <c:v>20121</c:v>
                </c:pt>
                <c:pt idx="74">
                  <c:v>20149</c:v>
                </c:pt>
                <c:pt idx="75">
                  <c:v>20180</c:v>
                </c:pt>
                <c:pt idx="76">
                  <c:v>20210</c:v>
                </c:pt>
                <c:pt idx="77">
                  <c:v>20241</c:v>
                </c:pt>
                <c:pt idx="78">
                  <c:v>20271</c:v>
                </c:pt>
                <c:pt idx="79">
                  <c:v>20302</c:v>
                </c:pt>
                <c:pt idx="80">
                  <c:v>20333</c:v>
                </c:pt>
                <c:pt idx="81">
                  <c:v>20363</c:v>
                </c:pt>
                <c:pt idx="82">
                  <c:v>20394</c:v>
                </c:pt>
                <c:pt idx="83">
                  <c:v>20424</c:v>
                </c:pt>
                <c:pt idx="84">
                  <c:v>20455</c:v>
                </c:pt>
                <c:pt idx="85">
                  <c:v>20486</c:v>
                </c:pt>
                <c:pt idx="86">
                  <c:v>20515</c:v>
                </c:pt>
                <c:pt idx="87">
                  <c:v>20546</c:v>
                </c:pt>
                <c:pt idx="88">
                  <c:v>20576</c:v>
                </c:pt>
                <c:pt idx="89">
                  <c:v>20607</c:v>
                </c:pt>
                <c:pt idx="90">
                  <c:v>20637</c:v>
                </c:pt>
                <c:pt idx="91">
                  <c:v>20668</c:v>
                </c:pt>
                <c:pt idx="92">
                  <c:v>20699</c:v>
                </c:pt>
                <c:pt idx="93">
                  <c:v>20729</c:v>
                </c:pt>
                <c:pt idx="94">
                  <c:v>20760</c:v>
                </c:pt>
                <c:pt idx="95">
                  <c:v>20790</c:v>
                </c:pt>
                <c:pt idx="96">
                  <c:v>20821</c:v>
                </c:pt>
                <c:pt idx="97">
                  <c:v>20852</c:v>
                </c:pt>
                <c:pt idx="98">
                  <c:v>20880</c:v>
                </c:pt>
                <c:pt idx="99">
                  <c:v>20911</c:v>
                </c:pt>
                <c:pt idx="100">
                  <c:v>20941</c:v>
                </c:pt>
                <c:pt idx="101">
                  <c:v>20972</c:v>
                </c:pt>
                <c:pt idx="102">
                  <c:v>21002</c:v>
                </c:pt>
                <c:pt idx="103">
                  <c:v>21033</c:v>
                </c:pt>
                <c:pt idx="104">
                  <c:v>21064</c:v>
                </c:pt>
                <c:pt idx="105">
                  <c:v>21094</c:v>
                </c:pt>
                <c:pt idx="106">
                  <c:v>21125</c:v>
                </c:pt>
                <c:pt idx="107">
                  <c:v>21155</c:v>
                </c:pt>
                <c:pt idx="108">
                  <c:v>21186</c:v>
                </c:pt>
                <c:pt idx="109">
                  <c:v>21217</c:v>
                </c:pt>
                <c:pt idx="110">
                  <c:v>21245</c:v>
                </c:pt>
                <c:pt idx="111">
                  <c:v>21276</c:v>
                </c:pt>
                <c:pt idx="112">
                  <c:v>21306</c:v>
                </c:pt>
                <c:pt idx="113">
                  <c:v>21337</c:v>
                </c:pt>
                <c:pt idx="114">
                  <c:v>21367</c:v>
                </c:pt>
                <c:pt idx="115">
                  <c:v>21398</c:v>
                </c:pt>
                <c:pt idx="116">
                  <c:v>21429</c:v>
                </c:pt>
                <c:pt idx="117">
                  <c:v>21459</c:v>
                </c:pt>
                <c:pt idx="118">
                  <c:v>21490</c:v>
                </c:pt>
                <c:pt idx="119">
                  <c:v>21520</c:v>
                </c:pt>
                <c:pt idx="120">
                  <c:v>21551</c:v>
                </c:pt>
                <c:pt idx="121">
                  <c:v>21582</c:v>
                </c:pt>
                <c:pt idx="122">
                  <c:v>21610</c:v>
                </c:pt>
                <c:pt idx="123">
                  <c:v>21641</c:v>
                </c:pt>
                <c:pt idx="124">
                  <c:v>21671</c:v>
                </c:pt>
                <c:pt idx="125">
                  <c:v>21702</c:v>
                </c:pt>
                <c:pt idx="126">
                  <c:v>21732</c:v>
                </c:pt>
                <c:pt idx="127">
                  <c:v>21763</c:v>
                </c:pt>
                <c:pt idx="128">
                  <c:v>21794</c:v>
                </c:pt>
                <c:pt idx="129">
                  <c:v>21824</c:v>
                </c:pt>
                <c:pt idx="130">
                  <c:v>21855</c:v>
                </c:pt>
                <c:pt idx="131">
                  <c:v>21885</c:v>
                </c:pt>
                <c:pt idx="132">
                  <c:v>21916</c:v>
                </c:pt>
                <c:pt idx="133">
                  <c:v>21947</c:v>
                </c:pt>
                <c:pt idx="134">
                  <c:v>21976</c:v>
                </c:pt>
                <c:pt idx="135">
                  <c:v>22007</c:v>
                </c:pt>
                <c:pt idx="136">
                  <c:v>22037</c:v>
                </c:pt>
                <c:pt idx="137">
                  <c:v>22068</c:v>
                </c:pt>
                <c:pt idx="138">
                  <c:v>22098</c:v>
                </c:pt>
                <c:pt idx="139">
                  <c:v>22129</c:v>
                </c:pt>
                <c:pt idx="140">
                  <c:v>22160</c:v>
                </c:pt>
                <c:pt idx="141">
                  <c:v>22190</c:v>
                </c:pt>
                <c:pt idx="142">
                  <c:v>22221</c:v>
                </c:pt>
                <c:pt idx="143">
                  <c:v>22251</c:v>
                </c:pt>
              </c:numCache>
            </c:numRef>
          </c:cat>
          <c:val>
            <c:numRef>
              <c:f>DATOS_MODELO_VAL1!$S$2:$S$145</c:f>
              <c:numCache>
                <c:formatCode>General</c:formatCode>
                <c:ptCount val="144"/>
                <c:pt idx="0">
                  <c:v>112</c:v>
                </c:pt>
                <c:pt idx="1">
                  <c:v>118</c:v>
                </c:pt>
                <c:pt idx="2">
                  <c:v>132</c:v>
                </c:pt>
                <c:pt idx="3">
                  <c:v>129</c:v>
                </c:pt>
                <c:pt idx="4">
                  <c:v>121</c:v>
                </c:pt>
                <c:pt idx="5">
                  <c:v>135</c:v>
                </c:pt>
                <c:pt idx="6">
                  <c:v>148</c:v>
                </c:pt>
                <c:pt idx="7">
                  <c:v>148</c:v>
                </c:pt>
                <c:pt idx="8">
                  <c:v>136</c:v>
                </c:pt>
                <c:pt idx="9">
                  <c:v>119</c:v>
                </c:pt>
                <c:pt idx="10">
                  <c:v>104</c:v>
                </c:pt>
                <c:pt idx="11">
                  <c:v>118</c:v>
                </c:pt>
                <c:pt idx="12">
                  <c:v>115</c:v>
                </c:pt>
                <c:pt idx="13">
                  <c:v>126</c:v>
                </c:pt>
                <c:pt idx="14">
                  <c:v>141</c:v>
                </c:pt>
                <c:pt idx="15">
                  <c:v>135</c:v>
                </c:pt>
                <c:pt idx="16">
                  <c:v>125</c:v>
                </c:pt>
                <c:pt idx="17">
                  <c:v>149</c:v>
                </c:pt>
                <c:pt idx="18">
                  <c:v>170</c:v>
                </c:pt>
                <c:pt idx="19">
                  <c:v>170</c:v>
                </c:pt>
                <c:pt idx="20">
                  <c:v>158</c:v>
                </c:pt>
                <c:pt idx="21">
                  <c:v>133</c:v>
                </c:pt>
                <c:pt idx="22">
                  <c:v>114</c:v>
                </c:pt>
                <c:pt idx="23">
                  <c:v>140</c:v>
                </c:pt>
                <c:pt idx="24">
                  <c:v>145</c:v>
                </c:pt>
                <c:pt idx="25">
                  <c:v>150</c:v>
                </c:pt>
                <c:pt idx="26">
                  <c:v>178</c:v>
                </c:pt>
                <c:pt idx="27">
                  <c:v>163</c:v>
                </c:pt>
                <c:pt idx="28">
                  <c:v>172</c:v>
                </c:pt>
                <c:pt idx="29">
                  <c:v>178</c:v>
                </c:pt>
                <c:pt idx="30">
                  <c:v>199</c:v>
                </c:pt>
                <c:pt idx="31">
                  <c:v>199</c:v>
                </c:pt>
                <c:pt idx="32">
                  <c:v>184</c:v>
                </c:pt>
                <c:pt idx="33">
                  <c:v>162</c:v>
                </c:pt>
                <c:pt idx="34">
                  <c:v>146</c:v>
                </c:pt>
                <c:pt idx="35">
                  <c:v>166</c:v>
                </c:pt>
                <c:pt idx="36">
                  <c:v>171</c:v>
                </c:pt>
                <c:pt idx="37">
                  <c:v>180</c:v>
                </c:pt>
                <c:pt idx="38">
                  <c:v>193</c:v>
                </c:pt>
                <c:pt idx="39">
                  <c:v>181</c:v>
                </c:pt>
                <c:pt idx="40">
                  <c:v>183</c:v>
                </c:pt>
                <c:pt idx="41">
                  <c:v>218</c:v>
                </c:pt>
                <c:pt idx="42">
                  <c:v>230</c:v>
                </c:pt>
                <c:pt idx="43">
                  <c:v>242</c:v>
                </c:pt>
                <c:pt idx="44">
                  <c:v>209</c:v>
                </c:pt>
                <c:pt idx="45">
                  <c:v>191</c:v>
                </c:pt>
                <c:pt idx="46">
                  <c:v>172</c:v>
                </c:pt>
                <c:pt idx="47">
                  <c:v>194</c:v>
                </c:pt>
                <c:pt idx="48">
                  <c:v>196</c:v>
                </c:pt>
                <c:pt idx="49">
                  <c:v>196</c:v>
                </c:pt>
                <c:pt idx="50">
                  <c:v>236</c:v>
                </c:pt>
                <c:pt idx="51">
                  <c:v>235</c:v>
                </c:pt>
                <c:pt idx="52">
                  <c:v>229</c:v>
                </c:pt>
                <c:pt idx="53">
                  <c:v>243</c:v>
                </c:pt>
                <c:pt idx="54">
                  <c:v>264</c:v>
                </c:pt>
                <c:pt idx="55">
                  <c:v>272</c:v>
                </c:pt>
                <c:pt idx="56">
                  <c:v>237</c:v>
                </c:pt>
                <c:pt idx="57">
                  <c:v>211</c:v>
                </c:pt>
                <c:pt idx="58">
                  <c:v>180</c:v>
                </c:pt>
                <c:pt idx="59">
                  <c:v>201</c:v>
                </c:pt>
                <c:pt idx="60">
                  <c:v>204</c:v>
                </c:pt>
                <c:pt idx="61">
                  <c:v>188</c:v>
                </c:pt>
                <c:pt idx="62">
                  <c:v>235</c:v>
                </c:pt>
                <c:pt idx="63">
                  <c:v>227</c:v>
                </c:pt>
                <c:pt idx="64">
                  <c:v>234</c:v>
                </c:pt>
                <c:pt idx="65">
                  <c:v>264</c:v>
                </c:pt>
                <c:pt idx="66">
                  <c:v>302</c:v>
                </c:pt>
                <c:pt idx="67">
                  <c:v>293</c:v>
                </c:pt>
                <c:pt idx="68">
                  <c:v>259</c:v>
                </c:pt>
                <c:pt idx="69">
                  <c:v>229</c:v>
                </c:pt>
                <c:pt idx="70">
                  <c:v>203</c:v>
                </c:pt>
                <c:pt idx="71">
                  <c:v>229</c:v>
                </c:pt>
                <c:pt idx="72">
                  <c:v>242</c:v>
                </c:pt>
                <c:pt idx="73">
                  <c:v>233</c:v>
                </c:pt>
                <c:pt idx="74">
                  <c:v>267</c:v>
                </c:pt>
                <c:pt idx="75">
                  <c:v>269</c:v>
                </c:pt>
                <c:pt idx="76">
                  <c:v>270</c:v>
                </c:pt>
                <c:pt idx="77">
                  <c:v>315</c:v>
                </c:pt>
                <c:pt idx="78">
                  <c:v>364</c:v>
                </c:pt>
                <c:pt idx="79">
                  <c:v>347</c:v>
                </c:pt>
                <c:pt idx="80">
                  <c:v>312</c:v>
                </c:pt>
                <c:pt idx="81">
                  <c:v>274</c:v>
                </c:pt>
                <c:pt idx="82">
                  <c:v>237</c:v>
                </c:pt>
                <c:pt idx="83">
                  <c:v>278</c:v>
                </c:pt>
                <c:pt idx="84">
                  <c:v>284</c:v>
                </c:pt>
                <c:pt idx="85">
                  <c:v>277</c:v>
                </c:pt>
                <c:pt idx="86">
                  <c:v>317</c:v>
                </c:pt>
                <c:pt idx="87">
                  <c:v>313</c:v>
                </c:pt>
                <c:pt idx="88">
                  <c:v>318</c:v>
                </c:pt>
                <c:pt idx="89">
                  <c:v>374</c:v>
                </c:pt>
                <c:pt idx="90">
                  <c:v>413</c:v>
                </c:pt>
                <c:pt idx="91">
                  <c:v>405</c:v>
                </c:pt>
                <c:pt idx="92">
                  <c:v>355</c:v>
                </c:pt>
                <c:pt idx="93">
                  <c:v>306</c:v>
                </c:pt>
                <c:pt idx="94">
                  <c:v>271</c:v>
                </c:pt>
                <c:pt idx="95">
                  <c:v>306</c:v>
                </c:pt>
                <c:pt idx="96">
                  <c:v>315</c:v>
                </c:pt>
                <c:pt idx="97">
                  <c:v>301</c:v>
                </c:pt>
                <c:pt idx="98">
                  <c:v>356</c:v>
                </c:pt>
                <c:pt idx="99">
                  <c:v>348</c:v>
                </c:pt>
                <c:pt idx="100">
                  <c:v>355</c:v>
                </c:pt>
                <c:pt idx="101">
                  <c:v>422</c:v>
                </c:pt>
                <c:pt idx="102">
                  <c:v>465</c:v>
                </c:pt>
                <c:pt idx="103">
                  <c:v>467</c:v>
                </c:pt>
                <c:pt idx="104">
                  <c:v>404</c:v>
                </c:pt>
                <c:pt idx="105">
                  <c:v>347</c:v>
                </c:pt>
                <c:pt idx="106">
                  <c:v>305</c:v>
                </c:pt>
                <c:pt idx="107">
                  <c:v>336</c:v>
                </c:pt>
                <c:pt idx="108">
                  <c:v>340</c:v>
                </c:pt>
                <c:pt idx="109">
                  <c:v>318</c:v>
                </c:pt>
                <c:pt idx="110">
                  <c:v>362</c:v>
                </c:pt>
                <c:pt idx="111">
                  <c:v>348</c:v>
                </c:pt>
                <c:pt idx="112">
                  <c:v>363</c:v>
                </c:pt>
                <c:pt idx="113">
                  <c:v>435</c:v>
                </c:pt>
                <c:pt idx="114">
                  <c:v>491</c:v>
                </c:pt>
                <c:pt idx="115">
                  <c:v>505</c:v>
                </c:pt>
                <c:pt idx="116">
                  <c:v>404</c:v>
                </c:pt>
                <c:pt idx="117">
                  <c:v>359</c:v>
                </c:pt>
                <c:pt idx="118">
                  <c:v>310</c:v>
                </c:pt>
                <c:pt idx="119">
                  <c:v>337</c:v>
                </c:pt>
                <c:pt idx="120">
                  <c:v>360</c:v>
                </c:pt>
                <c:pt idx="121">
                  <c:v>342</c:v>
                </c:pt>
                <c:pt idx="122">
                  <c:v>406</c:v>
                </c:pt>
                <c:pt idx="123">
                  <c:v>396</c:v>
                </c:pt>
                <c:pt idx="124">
                  <c:v>420</c:v>
                </c:pt>
                <c:pt idx="125">
                  <c:v>472</c:v>
                </c:pt>
                <c:pt idx="126">
                  <c:v>548</c:v>
                </c:pt>
                <c:pt idx="127">
                  <c:v>559</c:v>
                </c:pt>
                <c:pt idx="128">
                  <c:v>463</c:v>
                </c:pt>
                <c:pt idx="129">
                  <c:v>407</c:v>
                </c:pt>
                <c:pt idx="130">
                  <c:v>362</c:v>
                </c:pt>
                <c:pt idx="131">
                  <c:v>405</c:v>
                </c:pt>
                <c:pt idx="132">
                  <c:v>417</c:v>
                </c:pt>
                <c:pt idx="133">
                  <c:v>391</c:v>
                </c:pt>
                <c:pt idx="134">
                  <c:v>419</c:v>
                </c:pt>
                <c:pt idx="135">
                  <c:v>461</c:v>
                </c:pt>
                <c:pt idx="136">
                  <c:v>472</c:v>
                </c:pt>
                <c:pt idx="137">
                  <c:v>535</c:v>
                </c:pt>
                <c:pt idx="138">
                  <c:v>622</c:v>
                </c:pt>
                <c:pt idx="139">
                  <c:v>606</c:v>
                </c:pt>
                <c:pt idx="140">
                  <c:v>508</c:v>
                </c:pt>
                <c:pt idx="141">
                  <c:v>461</c:v>
                </c:pt>
                <c:pt idx="142">
                  <c:v>390</c:v>
                </c:pt>
                <c:pt idx="143">
                  <c:v>432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D85-4993-9583-19832D452B71}"/>
            </c:ext>
          </c:extLst>
        </c:ser>
        <c:ser>
          <c:idx val="1"/>
          <c:order val="1"/>
          <c:tx>
            <c:strRef>
              <c:f>DATOS_MODELO_VAL1!$T$1</c:f>
              <c:strCache>
                <c:ptCount val="1"/>
                <c:pt idx="0">
                  <c:v>Modelo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DATOS_MODELO_VAL1!$R$2:$R$145</c:f>
              <c:numCache>
                <c:formatCode>m/d/yyyy</c:formatCode>
                <c:ptCount val="144"/>
                <c:pt idx="0">
                  <c:v>17899</c:v>
                </c:pt>
                <c:pt idx="1">
                  <c:v>17930</c:v>
                </c:pt>
                <c:pt idx="2">
                  <c:v>17958</c:v>
                </c:pt>
                <c:pt idx="3">
                  <c:v>17989</c:v>
                </c:pt>
                <c:pt idx="4">
                  <c:v>18019</c:v>
                </c:pt>
                <c:pt idx="5">
                  <c:v>18050</c:v>
                </c:pt>
                <c:pt idx="6">
                  <c:v>18080</c:v>
                </c:pt>
                <c:pt idx="7">
                  <c:v>18111</c:v>
                </c:pt>
                <c:pt idx="8">
                  <c:v>18142</c:v>
                </c:pt>
                <c:pt idx="9">
                  <c:v>18172</c:v>
                </c:pt>
                <c:pt idx="10">
                  <c:v>18203</c:v>
                </c:pt>
                <c:pt idx="11">
                  <c:v>18233</c:v>
                </c:pt>
                <c:pt idx="12">
                  <c:v>18264</c:v>
                </c:pt>
                <c:pt idx="13">
                  <c:v>18295</c:v>
                </c:pt>
                <c:pt idx="14">
                  <c:v>18323</c:v>
                </c:pt>
                <c:pt idx="15">
                  <c:v>18354</c:v>
                </c:pt>
                <c:pt idx="16">
                  <c:v>18384</c:v>
                </c:pt>
                <c:pt idx="17">
                  <c:v>18415</c:v>
                </c:pt>
                <c:pt idx="18">
                  <c:v>18445</c:v>
                </c:pt>
                <c:pt idx="19">
                  <c:v>18476</c:v>
                </c:pt>
                <c:pt idx="20">
                  <c:v>18507</c:v>
                </c:pt>
                <c:pt idx="21">
                  <c:v>18537</c:v>
                </c:pt>
                <c:pt idx="22">
                  <c:v>18568</c:v>
                </c:pt>
                <c:pt idx="23">
                  <c:v>18598</c:v>
                </c:pt>
                <c:pt idx="24">
                  <c:v>18629</c:v>
                </c:pt>
                <c:pt idx="25">
                  <c:v>18660</c:v>
                </c:pt>
                <c:pt idx="26">
                  <c:v>18688</c:v>
                </c:pt>
                <c:pt idx="27">
                  <c:v>18719</c:v>
                </c:pt>
                <c:pt idx="28">
                  <c:v>18749</c:v>
                </c:pt>
                <c:pt idx="29">
                  <c:v>18780</c:v>
                </c:pt>
                <c:pt idx="30">
                  <c:v>18810</c:v>
                </c:pt>
                <c:pt idx="31">
                  <c:v>18841</c:v>
                </c:pt>
                <c:pt idx="32">
                  <c:v>18872</c:v>
                </c:pt>
                <c:pt idx="33">
                  <c:v>18902</c:v>
                </c:pt>
                <c:pt idx="34">
                  <c:v>18933</c:v>
                </c:pt>
                <c:pt idx="35">
                  <c:v>18963</c:v>
                </c:pt>
                <c:pt idx="36">
                  <c:v>18994</c:v>
                </c:pt>
                <c:pt idx="37">
                  <c:v>19025</c:v>
                </c:pt>
                <c:pt idx="38">
                  <c:v>19054</c:v>
                </c:pt>
                <c:pt idx="39">
                  <c:v>19085</c:v>
                </c:pt>
                <c:pt idx="40">
                  <c:v>19115</c:v>
                </c:pt>
                <c:pt idx="41">
                  <c:v>19146</c:v>
                </c:pt>
                <c:pt idx="42">
                  <c:v>19176</c:v>
                </c:pt>
                <c:pt idx="43">
                  <c:v>19207</c:v>
                </c:pt>
                <c:pt idx="44">
                  <c:v>19238</c:v>
                </c:pt>
                <c:pt idx="45">
                  <c:v>19268</c:v>
                </c:pt>
                <c:pt idx="46">
                  <c:v>19299</c:v>
                </c:pt>
                <c:pt idx="47">
                  <c:v>19329</c:v>
                </c:pt>
                <c:pt idx="48">
                  <c:v>19360</c:v>
                </c:pt>
                <c:pt idx="49">
                  <c:v>19391</c:v>
                </c:pt>
                <c:pt idx="50">
                  <c:v>19419</c:v>
                </c:pt>
                <c:pt idx="51">
                  <c:v>19450</c:v>
                </c:pt>
                <c:pt idx="52">
                  <c:v>19480</c:v>
                </c:pt>
                <c:pt idx="53">
                  <c:v>19511</c:v>
                </c:pt>
                <c:pt idx="54">
                  <c:v>19541</c:v>
                </c:pt>
                <c:pt idx="55">
                  <c:v>19572</c:v>
                </c:pt>
                <c:pt idx="56">
                  <c:v>19603</c:v>
                </c:pt>
                <c:pt idx="57">
                  <c:v>19633</c:v>
                </c:pt>
                <c:pt idx="58">
                  <c:v>19664</c:v>
                </c:pt>
                <c:pt idx="59">
                  <c:v>19694</c:v>
                </c:pt>
                <c:pt idx="60">
                  <c:v>19725</c:v>
                </c:pt>
                <c:pt idx="61">
                  <c:v>19756</c:v>
                </c:pt>
                <c:pt idx="62">
                  <c:v>19784</c:v>
                </c:pt>
                <c:pt idx="63">
                  <c:v>19815</c:v>
                </c:pt>
                <c:pt idx="64">
                  <c:v>19845</c:v>
                </c:pt>
                <c:pt idx="65">
                  <c:v>19876</c:v>
                </c:pt>
                <c:pt idx="66">
                  <c:v>19906</c:v>
                </c:pt>
                <c:pt idx="67">
                  <c:v>19937</c:v>
                </c:pt>
                <c:pt idx="68">
                  <c:v>19968</c:v>
                </c:pt>
                <c:pt idx="69">
                  <c:v>19998</c:v>
                </c:pt>
                <c:pt idx="70">
                  <c:v>20029</c:v>
                </c:pt>
                <c:pt idx="71">
                  <c:v>20059</c:v>
                </c:pt>
                <c:pt idx="72">
                  <c:v>20090</c:v>
                </c:pt>
                <c:pt idx="73">
                  <c:v>20121</c:v>
                </c:pt>
                <c:pt idx="74">
                  <c:v>20149</c:v>
                </c:pt>
                <c:pt idx="75">
                  <c:v>20180</c:v>
                </c:pt>
                <c:pt idx="76">
                  <c:v>20210</c:v>
                </c:pt>
                <c:pt idx="77">
                  <c:v>20241</c:v>
                </c:pt>
                <c:pt idx="78">
                  <c:v>20271</c:v>
                </c:pt>
                <c:pt idx="79">
                  <c:v>20302</c:v>
                </c:pt>
                <c:pt idx="80">
                  <c:v>20333</c:v>
                </c:pt>
                <c:pt idx="81">
                  <c:v>20363</c:v>
                </c:pt>
                <c:pt idx="82">
                  <c:v>20394</c:v>
                </c:pt>
                <c:pt idx="83">
                  <c:v>20424</c:v>
                </c:pt>
                <c:pt idx="84">
                  <c:v>20455</c:v>
                </c:pt>
                <c:pt idx="85">
                  <c:v>20486</c:v>
                </c:pt>
                <c:pt idx="86">
                  <c:v>20515</c:v>
                </c:pt>
                <c:pt idx="87">
                  <c:v>20546</c:v>
                </c:pt>
                <c:pt idx="88">
                  <c:v>20576</c:v>
                </c:pt>
                <c:pt idx="89">
                  <c:v>20607</c:v>
                </c:pt>
                <c:pt idx="90">
                  <c:v>20637</c:v>
                </c:pt>
                <c:pt idx="91">
                  <c:v>20668</c:v>
                </c:pt>
                <c:pt idx="92">
                  <c:v>20699</c:v>
                </c:pt>
                <c:pt idx="93">
                  <c:v>20729</c:v>
                </c:pt>
                <c:pt idx="94">
                  <c:v>20760</c:v>
                </c:pt>
                <c:pt idx="95">
                  <c:v>20790</c:v>
                </c:pt>
                <c:pt idx="96">
                  <c:v>20821</c:v>
                </c:pt>
                <c:pt idx="97">
                  <c:v>20852</c:v>
                </c:pt>
                <c:pt idx="98">
                  <c:v>20880</c:v>
                </c:pt>
                <c:pt idx="99">
                  <c:v>20911</c:v>
                </c:pt>
                <c:pt idx="100">
                  <c:v>20941</c:v>
                </c:pt>
                <c:pt idx="101">
                  <c:v>20972</c:v>
                </c:pt>
                <c:pt idx="102">
                  <c:v>21002</c:v>
                </c:pt>
                <c:pt idx="103">
                  <c:v>21033</c:v>
                </c:pt>
                <c:pt idx="104">
                  <c:v>21064</c:v>
                </c:pt>
                <c:pt idx="105">
                  <c:v>21094</c:v>
                </c:pt>
                <c:pt idx="106">
                  <c:v>21125</c:v>
                </c:pt>
                <c:pt idx="107">
                  <c:v>21155</c:v>
                </c:pt>
                <c:pt idx="108">
                  <c:v>21186</c:v>
                </c:pt>
                <c:pt idx="109">
                  <c:v>21217</c:v>
                </c:pt>
                <c:pt idx="110">
                  <c:v>21245</c:v>
                </c:pt>
                <c:pt idx="111">
                  <c:v>21276</c:v>
                </c:pt>
                <c:pt idx="112">
                  <c:v>21306</c:v>
                </c:pt>
                <c:pt idx="113">
                  <c:v>21337</c:v>
                </c:pt>
                <c:pt idx="114">
                  <c:v>21367</c:v>
                </c:pt>
                <c:pt idx="115">
                  <c:v>21398</c:v>
                </c:pt>
                <c:pt idx="116">
                  <c:v>21429</c:v>
                </c:pt>
                <c:pt idx="117">
                  <c:v>21459</c:v>
                </c:pt>
                <c:pt idx="118">
                  <c:v>21490</c:v>
                </c:pt>
                <c:pt idx="119">
                  <c:v>21520</c:v>
                </c:pt>
                <c:pt idx="120">
                  <c:v>21551</c:v>
                </c:pt>
                <c:pt idx="121">
                  <c:v>21582</c:v>
                </c:pt>
                <c:pt idx="122">
                  <c:v>21610</c:v>
                </c:pt>
                <c:pt idx="123">
                  <c:v>21641</c:v>
                </c:pt>
                <c:pt idx="124">
                  <c:v>21671</c:v>
                </c:pt>
                <c:pt idx="125">
                  <c:v>21702</c:v>
                </c:pt>
                <c:pt idx="126">
                  <c:v>21732</c:v>
                </c:pt>
                <c:pt idx="127">
                  <c:v>21763</c:v>
                </c:pt>
                <c:pt idx="128">
                  <c:v>21794</c:v>
                </c:pt>
                <c:pt idx="129">
                  <c:v>21824</c:v>
                </c:pt>
                <c:pt idx="130">
                  <c:v>21855</c:v>
                </c:pt>
                <c:pt idx="131">
                  <c:v>21885</c:v>
                </c:pt>
                <c:pt idx="132">
                  <c:v>21916</c:v>
                </c:pt>
                <c:pt idx="133">
                  <c:v>21947</c:v>
                </c:pt>
                <c:pt idx="134">
                  <c:v>21976</c:v>
                </c:pt>
                <c:pt idx="135">
                  <c:v>22007</c:v>
                </c:pt>
                <c:pt idx="136">
                  <c:v>22037</c:v>
                </c:pt>
                <c:pt idx="137">
                  <c:v>22068</c:v>
                </c:pt>
                <c:pt idx="138">
                  <c:v>22098</c:v>
                </c:pt>
                <c:pt idx="139">
                  <c:v>22129</c:v>
                </c:pt>
                <c:pt idx="140">
                  <c:v>22160</c:v>
                </c:pt>
                <c:pt idx="141">
                  <c:v>22190</c:v>
                </c:pt>
                <c:pt idx="142">
                  <c:v>22221</c:v>
                </c:pt>
                <c:pt idx="143">
                  <c:v>22251</c:v>
                </c:pt>
              </c:numCache>
            </c:numRef>
          </c:cat>
          <c:val>
            <c:numRef>
              <c:f>DATOS_MODELO_VAL1!$T$2:$T$145</c:f>
              <c:numCache>
                <c:formatCode>General</c:formatCode>
                <c:ptCount val="144"/>
                <c:pt idx="6">
                  <c:v>143.95855065666132</c:v>
                </c:pt>
                <c:pt idx="7">
                  <c:v>157.9680530330547</c:v>
                </c:pt>
                <c:pt idx="8">
                  <c:v>152.31501654018754</c:v>
                </c:pt>
                <c:pt idx="9">
                  <c:v>133.04073240287153</c:v>
                </c:pt>
                <c:pt idx="10">
                  <c:v>120.06119174011872</c:v>
                </c:pt>
                <c:pt idx="11">
                  <c:v>111.55378856567147</c:v>
                </c:pt>
                <c:pt idx="12">
                  <c:v>136.63505747494185</c:v>
                </c:pt>
                <c:pt idx="13">
                  <c:v>123.59834961119142</c:v>
                </c:pt>
                <c:pt idx="14">
                  <c:v>138.1323907134753</c:v>
                </c:pt>
                <c:pt idx="15">
                  <c:v>145.26970187258289</c:v>
                </c:pt>
                <c:pt idx="16">
                  <c:v>137.497605685666</c:v>
                </c:pt>
                <c:pt idx="17">
                  <c:v>124.9923471106822</c:v>
                </c:pt>
                <c:pt idx="18">
                  <c:v>161.38546946224162</c:v>
                </c:pt>
                <c:pt idx="19">
                  <c:v>181.13075216743005</c:v>
                </c:pt>
                <c:pt idx="20">
                  <c:v>171.71616603230913</c:v>
                </c:pt>
                <c:pt idx="21">
                  <c:v>150.87394001120435</c:v>
                </c:pt>
                <c:pt idx="22">
                  <c:v>129.72561042646782</c:v>
                </c:pt>
                <c:pt idx="23">
                  <c:v>122.04375921618262</c:v>
                </c:pt>
                <c:pt idx="24">
                  <c:v>163.23422421968689</c:v>
                </c:pt>
                <c:pt idx="25">
                  <c:v>155.67241854868948</c:v>
                </c:pt>
                <c:pt idx="26">
                  <c:v>157.65368858963987</c:v>
                </c:pt>
                <c:pt idx="27">
                  <c:v>182.13146135721604</c:v>
                </c:pt>
                <c:pt idx="28">
                  <c:v>158.83473913271376</c:v>
                </c:pt>
                <c:pt idx="29">
                  <c:v>179.2293616793512</c:v>
                </c:pt>
                <c:pt idx="30">
                  <c:v>177.5452482903797</c:v>
                </c:pt>
                <c:pt idx="31">
                  <c:v>214.19192117930123</c:v>
                </c:pt>
                <c:pt idx="32">
                  <c:v>195.86262123070429</c:v>
                </c:pt>
                <c:pt idx="33">
                  <c:v>181.45147019914393</c:v>
                </c:pt>
                <c:pt idx="34">
                  <c:v>158.23535877348792</c:v>
                </c:pt>
                <c:pt idx="35">
                  <c:v>153.87928248766133</c:v>
                </c:pt>
                <c:pt idx="36">
                  <c:v>186.70756928293153</c:v>
                </c:pt>
                <c:pt idx="37">
                  <c:v>180.78829341143279</c:v>
                </c:pt>
                <c:pt idx="38">
                  <c:v>188.05478004666776</c:v>
                </c:pt>
                <c:pt idx="39">
                  <c:v>193.22803239855477</c:v>
                </c:pt>
                <c:pt idx="40">
                  <c:v>179.23084093484724</c:v>
                </c:pt>
                <c:pt idx="41">
                  <c:v>187.54743686364333</c:v>
                </c:pt>
                <c:pt idx="42">
                  <c:v>230.79610415086515</c:v>
                </c:pt>
                <c:pt idx="43">
                  <c:v>235.20185789390104</c:v>
                </c:pt>
                <c:pt idx="44">
                  <c:v>242.49449375356062</c:v>
                </c:pt>
                <c:pt idx="45">
                  <c:v>190.55739222104756</c:v>
                </c:pt>
                <c:pt idx="46">
                  <c:v>194.2547663350191</c:v>
                </c:pt>
                <c:pt idx="47">
                  <c:v>175.36020510201263</c:v>
                </c:pt>
                <c:pt idx="48">
                  <c:v>220.47662524777735</c:v>
                </c:pt>
                <c:pt idx="49">
                  <c:v>201.83686370304372</c:v>
                </c:pt>
                <c:pt idx="50">
                  <c:v>202.30617148772598</c:v>
                </c:pt>
                <c:pt idx="51">
                  <c:v>244.60587018994622</c:v>
                </c:pt>
                <c:pt idx="52">
                  <c:v>232.13847515769783</c:v>
                </c:pt>
                <c:pt idx="53">
                  <c:v>227.64559818406534</c:v>
                </c:pt>
                <c:pt idx="54">
                  <c:v>241.14285517190513</c:v>
                </c:pt>
                <c:pt idx="55">
                  <c:v>274.45572104911349</c:v>
                </c:pt>
                <c:pt idx="56">
                  <c:v>273.72497843125313</c:v>
                </c:pt>
                <c:pt idx="57">
                  <c:v>222.28240054450373</c:v>
                </c:pt>
                <c:pt idx="58">
                  <c:v>208.14306584395604</c:v>
                </c:pt>
                <c:pt idx="59">
                  <c:v>182.77512757996504</c:v>
                </c:pt>
                <c:pt idx="60">
                  <c:v>230.17340230305692</c:v>
                </c:pt>
                <c:pt idx="61">
                  <c:v>213.27630543199774</c:v>
                </c:pt>
                <c:pt idx="62">
                  <c:v>192.21742765358482</c:v>
                </c:pt>
                <c:pt idx="63">
                  <c:v>248.05523403726164</c:v>
                </c:pt>
                <c:pt idx="64">
                  <c:v>222.06690627221005</c:v>
                </c:pt>
                <c:pt idx="65">
                  <c:v>241.56362367715957</c:v>
                </c:pt>
                <c:pt idx="66">
                  <c:v>261.8586298461795</c:v>
                </c:pt>
                <c:pt idx="67">
                  <c:v>314.99702617075695</c:v>
                </c:pt>
                <c:pt idx="68">
                  <c:v>280.3733602944709</c:v>
                </c:pt>
                <c:pt idx="69">
                  <c:v>242.03391941205621</c:v>
                </c:pt>
                <c:pt idx="70">
                  <c:v>222.28912104552603</c:v>
                </c:pt>
                <c:pt idx="71">
                  <c:v>213.1216040919704</c:v>
                </c:pt>
                <c:pt idx="72">
                  <c:v>257.04714959727505</c:v>
                </c:pt>
                <c:pt idx="73">
                  <c:v>253.1683467723779</c:v>
                </c:pt>
                <c:pt idx="74">
                  <c:v>234.31468906834905</c:v>
                </c:pt>
                <c:pt idx="75">
                  <c:v>272.00003979272964</c:v>
                </c:pt>
                <c:pt idx="76">
                  <c:v>265.37995771388142</c:v>
                </c:pt>
                <c:pt idx="77">
                  <c:v>272.94927032313018</c:v>
                </c:pt>
                <c:pt idx="78">
                  <c:v>320.33276172696458</c:v>
                </c:pt>
                <c:pt idx="79">
                  <c:v>373.04199349948823</c:v>
                </c:pt>
                <c:pt idx="80">
                  <c:v>329.43525751777071</c:v>
                </c:pt>
                <c:pt idx="81">
                  <c:v>289.29515516171659</c:v>
                </c:pt>
                <c:pt idx="82">
                  <c:v>262.59532265112739</c:v>
                </c:pt>
                <c:pt idx="83">
                  <c:v>247.30355602965861</c:v>
                </c:pt>
                <c:pt idx="84">
                  <c:v>311.87394893152049</c:v>
                </c:pt>
                <c:pt idx="85">
                  <c:v>292.34537296321952</c:v>
                </c:pt>
                <c:pt idx="86">
                  <c:v>280.12385609127938</c:v>
                </c:pt>
                <c:pt idx="87">
                  <c:v>318.02710671991366</c:v>
                </c:pt>
                <c:pt idx="88">
                  <c:v>308.03509670868226</c:v>
                </c:pt>
                <c:pt idx="89">
                  <c:v>320.45603191018438</c:v>
                </c:pt>
                <c:pt idx="90">
                  <c:v>379.5381865356797</c:v>
                </c:pt>
                <c:pt idx="91">
                  <c:v>417.36852506168429</c:v>
                </c:pt>
                <c:pt idx="92">
                  <c:v>388.00758089722115</c:v>
                </c:pt>
                <c:pt idx="93">
                  <c:v>323.13395174473465</c:v>
                </c:pt>
                <c:pt idx="94">
                  <c:v>295.70949741434697</c:v>
                </c:pt>
                <c:pt idx="95">
                  <c:v>281.30097114103876</c:v>
                </c:pt>
                <c:pt idx="96">
                  <c:v>342.64612142878218</c:v>
                </c:pt>
                <c:pt idx="97">
                  <c:v>326.35494322624356</c:v>
                </c:pt>
                <c:pt idx="98">
                  <c:v>300.07637302973319</c:v>
                </c:pt>
                <c:pt idx="99">
                  <c:v>363.40079279831315</c:v>
                </c:pt>
                <c:pt idx="100">
                  <c:v>337.61768535828901</c:v>
                </c:pt>
                <c:pt idx="101">
                  <c:v>358.55406084711467</c:v>
                </c:pt>
                <c:pt idx="102">
                  <c:v>425.14961653046834</c:v>
                </c:pt>
                <c:pt idx="103">
                  <c:v>469.18249895795469</c:v>
                </c:pt>
                <c:pt idx="104">
                  <c:v>448.9346670602431</c:v>
                </c:pt>
                <c:pt idx="105">
                  <c:v>361.82026560038958</c:v>
                </c:pt>
                <c:pt idx="106">
                  <c:v>334.25239652756284</c:v>
                </c:pt>
                <c:pt idx="107">
                  <c:v>312.4620282867275</c:v>
                </c:pt>
                <c:pt idx="108">
                  <c:v>376.85383160657636</c:v>
                </c:pt>
                <c:pt idx="109">
                  <c:v>351.84332227904997</c:v>
                </c:pt>
                <c:pt idx="110">
                  <c:v>316.81158058465496</c:v>
                </c:pt>
                <c:pt idx="111">
                  <c:v>368.38001569575079</c:v>
                </c:pt>
                <c:pt idx="112">
                  <c:v>339.58851419314544</c:v>
                </c:pt>
                <c:pt idx="113">
                  <c:v>372.76209629040932</c:v>
                </c:pt>
                <c:pt idx="114">
                  <c:v>440.92478746452622</c:v>
                </c:pt>
                <c:pt idx="115">
                  <c:v>497.77012623872349</c:v>
                </c:pt>
                <c:pt idx="116">
                  <c:v>484.2626243027064</c:v>
                </c:pt>
                <c:pt idx="117">
                  <c:v>345.89840089105098</c:v>
                </c:pt>
                <c:pt idx="118">
                  <c:v>352.1929428765967</c:v>
                </c:pt>
                <c:pt idx="119">
                  <c:v>314.13996265516181</c:v>
                </c:pt>
                <c:pt idx="120">
                  <c:v>387.89235408100456</c:v>
                </c:pt>
                <c:pt idx="121">
                  <c:v>372.74342272688909</c:v>
                </c:pt>
                <c:pt idx="122">
                  <c:v>341.07564612565011</c:v>
                </c:pt>
                <c:pt idx="123">
                  <c:v>415.54613292484993</c:v>
                </c:pt>
                <c:pt idx="124">
                  <c:v>378.15885482386261</c:v>
                </c:pt>
                <c:pt idx="125">
                  <c:v>428.67444193569622</c:v>
                </c:pt>
                <c:pt idx="126">
                  <c:v>463.62693933675178</c:v>
                </c:pt>
                <c:pt idx="127">
                  <c:v>562.49995253921566</c:v>
                </c:pt>
                <c:pt idx="128">
                  <c:v>532.00500507568972</c:v>
                </c:pt>
                <c:pt idx="129">
                  <c:v>409.64988946608452</c:v>
                </c:pt>
                <c:pt idx="130">
                  <c:v>388.14846587975615</c:v>
                </c:pt>
                <c:pt idx="131">
                  <c:v>369.71325074938443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D85-4993-9583-19832D452B71}"/>
            </c:ext>
          </c:extLst>
        </c:ser>
        <c:ser>
          <c:idx val="2"/>
          <c:order val="2"/>
          <c:tx>
            <c:strRef>
              <c:f>DATOS_MODELO_VAL1!$U$1</c:f>
              <c:strCache>
                <c:ptCount val="1"/>
                <c:pt idx="0">
                  <c:v>Pronostico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DATOS_MODELO_VAL1!$R$2:$R$145</c:f>
              <c:numCache>
                <c:formatCode>m/d/yyyy</c:formatCode>
                <c:ptCount val="144"/>
                <c:pt idx="0">
                  <c:v>17899</c:v>
                </c:pt>
                <c:pt idx="1">
                  <c:v>17930</c:v>
                </c:pt>
                <c:pt idx="2">
                  <c:v>17958</c:v>
                </c:pt>
                <c:pt idx="3">
                  <c:v>17989</c:v>
                </c:pt>
                <c:pt idx="4">
                  <c:v>18019</c:v>
                </c:pt>
                <c:pt idx="5">
                  <c:v>18050</c:v>
                </c:pt>
                <c:pt idx="6">
                  <c:v>18080</c:v>
                </c:pt>
                <c:pt idx="7">
                  <c:v>18111</c:v>
                </c:pt>
                <c:pt idx="8">
                  <c:v>18142</c:v>
                </c:pt>
                <c:pt idx="9">
                  <c:v>18172</c:v>
                </c:pt>
                <c:pt idx="10">
                  <c:v>18203</c:v>
                </c:pt>
                <c:pt idx="11">
                  <c:v>18233</c:v>
                </c:pt>
                <c:pt idx="12">
                  <c:v>18264</c:v>
                </c:pt>
                <c:pt idx="13">
                  <c:v>18295</c:v>
                </c:pt>
                <c:pt idx="14">
                  <c:v>18323</c:v>
                </c:pt>
                <c:pt idx="15">
                  <c:v>18354</c:v>
                </c:pt>
                <c:pt idx="16">
                  <c:v>18384</c:v>
                </c:pt>
                <c:pt idx="17">
                  <c:v>18415</c:v>
                </c:pt>
                <c:pt idx="18">
                  <c:v>18445</c:v>
                </c:pt>
                <c:pt idx="19">
                  <c:v>18476</c:v>
                </c:pt>
                <c:pt idx="20">
                  <c:v>18507</c:v>
                </c:pt>
                <c:pt idx="21">
                  <c:v>18537</c:v>
                </c:pt>
                <c:pt idx="22">
                  <c:v>18568</c:v>
                </c:pt>
                <c:pt idx="23">
                  <c:v>18598</c:v>
                </c:pt>
                <c:pt idx="24">
                  <c:v>18629</c:v>
                </c:pt>
                <c:pt idx="25">
                  <c:v>18660</c:v>
                </c:pt>
                <c:pt idx="26">
                  <c:v>18688</c:v>
                </c:pt>
                <c:pt idx="27">
                  <c:v>18719</c:v>
                </c:pt>
                <c:pt idx="28">
                  <c:v>18749</c:v>
                </c:pt>
                <c:pt idx="29">
                  <c:v>18780</c:v>
                </c:pt>
                <c:pt idx="30">
                  <c:v>18810</c:v>
                </c:pt>
                <c:pt idx="31">
                  <c:v>18841</c:v>
                </c:pt>
                <c:pt idx="32">
                  <c:v>18872</c:v>
                </c:pt>
                <c:pt idx="33">
                  <c:v>18902</c:v>
                </c:pt>
                <c:pt idx="34">
                  <c:v>18933</c:v>
                </c:pt>
                <c:pt idx="35">
                  <c:v>18963</c:v>
                </c:pt>
                <c:pt idx="36">
                  <c:v>18994</c:v>
                </c:pt>
                <c:pt idx="37">
                  <c:v>19025</c:v>
                </c:pt>
                <c:pt idx="38">
                  <c:v>19054</c:v>
                </c:pt>
                <c:pt idx="39">
                  <c:v>19085</c:v>
                </c:pt>
                <c:pt idx="40">
                  <c:v>19115</c:v>
                </c:pt>
                <c:pt idx="41">
                  <c:v>19146</c:v>
                </c:pt>
                <c:pt idx="42">
                  <c:v>19176</c:v>
                </c:pt>
                <c:pt idx="43">
                  <c:v>19207</c:v>
                </c:pt>
                <c:pt idx="44">
                  <c:v>19238</c:v>
                </c:pt>
                <c:pt idx="45">
                  <c:v>19268</c:v>
                </c:pt>
                <c:pt idx="46">
                  <c:v>19299</c:v>
                </c:pt>
                <c:pt idx="47">
                  <c:v>19329</c:v>
                </c:pt>
                <c:pt idx="48">
                  <c:v>19360</c:v>
                </c:pt>
                <c:pt idx="49">
                  <c:v>19391</c:v>
                </c:pt>
                <c:pt idx="50">
                  <c:v>19419</c:v>
                </c:pt>
                <c:pt idx="51">
                  <c:v>19450</c:v>
                </c:pt>
                <c:pt idx="52">
                  <c:v>19480</c:v>
                </c:pt>
                <c:pt idx="53">
                  <c:v>19511</c:v>
                </c:pt>
                <c:pt idx="54">
                  <c:v>19541</c:v>
                </c:pt>
                <c:pt idx="55">
                  <c:v>19572</c:v>
                </c:pt>
                <c:pt idx="56">
                  <c:v>19603</c:v>
                </c:pt>
                <c:pt idx="57">
                  <c:v>19633</c:v>
                </c:pt>
                <c:pt idx="58">
                  <c:v>19664</c:v>
                </c:pt>
                <c:pt idx="59">
                  <c:v>19694</c:v>
                </c:pt>
                <c:pt idx="60">
                  <c:v>19725</c:v>
                </c:pt>
                <c:pt idx="61">
                  <c:v>19756</c:v>
                </c:pt>
                <c:pt idx="62">
                  <c:v>19784</c:v>
                </c:pt>
                <c:pt idx="63">
                  <c:v>19815</c:v>
                </c:pt>
                <c:pt idx="64">
                  <c:v>19845</c:v>
                </c:pt>
                <c:pt idx="65">
                  <c:v>19876</c:v>
                </c:pt>
                <c:pt idx="66">
                  <c:v>19906</c:v>
                </c:pt>
                <c:pt idx="67">
                  <c:v>19937</c:v>
                </c:pt>
                <c:pt idx="68">
                  <c:v>19968</c:v>
                </c:pt>
                <c:pt idx="69">
                  <c:v>19998</c:v>
                </c:pt>
                <c:pt idx="70">
                  <c:v>20029</c:v>
                </c:pt>
                <c:pt idx="71">
                  <c:v>20059</c:v>
                </c:pt>
                <c:pt idx="72">
                  <c:v>20090</c:v>
                </c:pt>
                <c:pt idx="73">
                  <c:v>20121</c:v>
                </c:pt>
                <c:pt idx="74">
                  <c:v>20149</c:v>
                </c:pt>
                <c:pt idx="75">
                  <c:v>20180</c:v>
                </c:pt>
                <c:pt idx="76">
                  <c:v>20210</c:v>
                </c:pt>
                <c:pt idx="77">
                  <c:v>20241</c:v>
                </c:pt>
                <c:pt idx="78">
                  <c:v>20271</c:v>
                </c:pt>
                <c:pt idx="79">
                  <c:v>20302</c:v>
                </c:pt>
                <c:pt idx="80">
                  <c:v>20333</c:v>
                </c:pt>
                <c:pt idx="81">
                  <c:v>20363</c:v>
                </c:pt>
                <c:pt idx="82">
                  <c:v>20394</c:v>
                </c:pt>
                <c:pt idx="83">
                  <c:v>20424</c:v>
                </c:pt>
                <c:pt idx="84">
                  <c:v>20455</c:v>
                </c:pt>
                <c:pt idx="85">
                  <c:v>20486</c:v>
                </c:pt>
                <c:pt idx="86">
                  <c:v>20515</c:v>
                </c:pt>
                <c:pt idx="87">
                  <c:v>20546</c:v>
                </c:pt>
                <c:pt idx="88">
                  <c:v>20576</c:v>
                </c:pt>
                <c:pt idx="89">
                  <c:v>20607</c:v>
                </c:pt>
                <c:pt idx="90">
                  <c:v>20637</c:v>
                </c:pt>
                <c:pt idx="91">
                  <c:v>20668</c:v>
                </c:pt>
                <c:pt idx="92">
                  <c:v>20699</c:v>
                </c:pt>
                <c:pt idx="93">
                  <c:v>20729</c:v>
                </c:pt>
                <c:pt idx="94">
                  <c:v>20760</c:v>
                </c:pt>
                <c:pt idx="95">
                  <c:v>20790</c:v>
                </c:pt>
                <c:pt idx="96">
                  <c:v>20821</c:v>
                </c:pt>
                <c:pt idx="97">
                  <c:v>20852</c:v>
                </c:pt>
                <c:pt idx="98">
                  <c:v>20880</c:v>
                </c:pt>
                <c:pt idx="99">
                  <c:v>20911</c:v>
                </c:pt>
                <c:pt idx="100">
                  <c:v>20941</c:v>
                </c:pt>
                <c:pt idx="101">
                  <c:v>20972</c:v>
                </c:pt>
                <c:pt idx="102">
                  <c:v>21002</c:v>
                </c:pt>
                <c:pt idx="103">
                  <c:v>21033</c:v>
                </c:pt>
                <c:pt idx="104">
                  <c:v>21064</c:v>
                </c:pt>
                <c:pt idx="105">
                  <c:v>21094</c:v>
                </c:pt>
                <c:pt idx="106">
                  <c:v>21125</c:v>
                </c:pt>
                <c:pt idx="107">
                  <c:v>21155</c:v>
                </c:pt>
                <c:pt idx="108">
                  <c:v>21186</c:v>
                </c:pt>
                <c:pt idx="109">
                  <c:v>21217</c:v>
                </c:pt>
                <c:pt idx="110">
                  <c:v>21245</c:v>
                </c:pt>
                <c:pt idx="111">
                  <c:v>21276</c:v>
                </c:pt>
                <c:pt idx="112">
                  <c:v>21306</c:v>
                </c:pt>
                <c:pt idx="113">
                  <c:v>21337</c:v>
                </c:pt>
                <c:pt idx="114">
                  <c:v>21367</c:v>
                </c:pt>
                <c:pt idx="115">
                  <c:v>21398</c:v>
                </c:pt>
                <c:pt idx="116">
                  <c:v>21429</c:v>
                </c:pt>
                <c:pt idx="117">
                  <c:v>21459</c:v>
                </c:pt>
                <c:pt idx="118">
                  <c:v>21490</c:v>
                </c:pt>
                <c:pt idx="119">
                  <c:v>21520</c:v>
                </c:pt>
                <c:pt idx="120">
                  <c:v>21551</c:v>
                </c:pt>
                <c:pt idx="121">
                  <c:v>21582</c:v>
                </c:pt>
                <c:pt idx="122">
                  <c:v>21610</c:v>
                </c:pt>
                <c:pt idx="123">
                  <c:v>21641</c:v>
                </c:pt>
                <c:pt idx="124">
                  <c:v>21671</c:v>
                </c:pt>
                <c:pt idx="125">
                  <c:v>21702</c:v>
                </c:pt>
                <c:pt idx="126">
                  <c:v>21732</c:v>
                </c:pt>
                <c:pt idx="127">
                  <c:v>21763</c:v>
                </c:pt>
                <c:pt idx="128">
                  <c:v>21794</c:v>
                </c:pt>
                <c:pt idx="129">
                  <c:v>21824</c:v>
                </c:pt>
                <c:pt idx="130">
                  <c:v>21855</c:v>
                </c:pt>
                <c:pt idx="131">
                  <c:v>21885</c:v>
                </c:pt>
                <c:pt idx="132">
                  <c:v>21916</c:v>
                </c:pt>
                <c:pt idx="133">
                  <c:v>21947</c:v>
                </c:pt>
                <c:pt idx="134">
                  <c:v>21976</c:v>
                </c:pt>
                <c:pt idx="135">
                  <c:v>22007</c:v>
                </c:pt>
                <c:pt idx="136">
                  <c:v>22037</c:v>
                </c:pt>
                <c:pt idx="137">
                  <c:v>22068</c:v>
                </c:pt>
                <c:pt idx="138">
                  <c:v>22098</c:v>
                </c:pt>
                <c:pt idx="139">
                  <c:v>22129</c:v>
                </c:pt>
                <c:pt idx="140">
                  <c:v>22160</c:v>
                </c:pt>
                <c:pt idx="141">
                  <c:v>22190</c:v>
                </c:pt>
                <c:pt idx="142">
                  <c:v>22221</c:v>
                </c:pt>
                <c:pt idx="143">
                  <c:v>22251</c:v>
                </c:pt>
              </c:numCache>
            </c:numRef>
          </c:cat>
          <c:val>
            <c:numRef>
              <c:f>DATOS_MODELO_VAL1!$U$2:$U$145</c:f>
              <c:numCache>
                <c:formatCode>General</c:formatCode>
                <c:ptCount val="144"/>
                <c:pt idx="132">
                  <c:v>412.54655447187633</c:v>
                </c:pt>
                <c:pt idx="133">
                  <c:v>436.49388415072571</c:v>
                </c:pt>
                <c:pt idx="134">
                  <c:v>442.45052316460487</c:v>
                </c:pt>
                <c:pt idx="135">
                  <c:v>429.24657774508302</c:v>
                </c:pt>
                <c:pt idx="136">
                  <c:v>409.45671015161935</c:v>
                </c:pt>
                <c:pt idx="137">
                  <c:v>400.77571374783224</c:v>
                </c:pt>
                <c:pt idx="138">
                  <c:v>402.34280797926806</c:v>
                </c:pt>
                <c:pt idx="139">
                  <c:v>409.64244190233251</c:v>
                </c:pt>
                <c:pt idx="140">
                  <c:v>416.14545466299984</c:v>
                </c:pt>
                <c:pt idx="141">
                  <c:v>416.78222560084657</c:v>
                </c:pt>
                <c:pt idx="142">
                  <c:v>413.16128437160529</c:v>
                </c:pt>
                <c:pt idx="143">
                  <c:v>408.5819230116328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D85-4993-9583-19832D452B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76668320"/>
        <c:axId val="376668648"/>
      </c:lineChart>
      <c:dateAx>
        <c:axId val="37666832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6668648"/>
        <c:crosses val="autoZero"/>
        <c:auto val="1"/>
        <c:lblOffset val="100"/>
        <c:baseTimeUnit val="months"/>
      </c:dateAx>
      <c:valAx>
        <c:axId val="376668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66683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VALIDACION</a:t>
            </a:r>
            <a:r>
              <a:rPr lang="en-US" baseline="0"/>
              <a:t> DEL MODELO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DATOS_MODELO_VAL2!$S$1</c:f>
              <c:strCache>
                <c:ptCount val="1"/>
                <c:pt idx="0">
                  <c:v>Real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DATOS_MODELO_VAL2!$R$2:$R$145</c:f>
              <c:numCache>
                <c:formatCode>m/d/yyyy</c:formatCode>
                <c:ptCount val="144"/>
                <c:pt idx="0">
                  <c:v>17899</c:v>
                </c:pt>
                <c:pt idx="1">
                  <c:v>17930</c:v>
                </c:pt>
                <c:pt idx="2">
                  <c:v>17958</c:v>
                </c:pt>
                <c:pt idx="3">
                  <c:v>17989</c:v>
                </c:pt>
                <c:pt idx="4">
                  <c:v>18019</c:v>
                </c:pt>
                <c:pt idx="5">
                  <c:v>18050</c:v>
                </c:pt>
                <c:pt idx="6">
                  <c:v>18080</c:v>
                </c:pt>
                <c:pt idx="7">
                  <c:v>18111</c:v>
                </c:pt>
                <c:pt idx="8">
                  <c:v>18142</c:v>
                </c:pt>
                <c:pt idx="9">
                  <c:v>18172</c:v>
                </c:pt>
                <c:pt idx="10">
                  <c:v>18203</c:v>
                </c:pt>
                <c:pt idx="11">
                  <c:v>18233</c:v>
                </c:pt>
                <c:pt idx="12">
                  <c:v>18264</c:v>
                </c:pt>
                <c:pt idx="13">
                  <c:v>18295</c:v>
                </c:pt>
                <c:pt idx="14">
                  <c:v>18323</c:v>
                </c:pt>
                <c:pt idx="15">
                  <c:v>18354</c:v>
                </c:pt>
                <c:pt idx="16">
                  <c:v>18384</c:v>
                </c:pt>
                <c:pt idx="17">
                  <c:v>18415</c:v>
                </c:pt>
                <c:pt idx="18">
                  <c:v>18445</c:v>
                </c:pt>
                <c:pt idx="19">
                  <c:v>18476</c:v>
                </c:pt>
                <c:pt idx="20">
                  <c:v>18507</c:v>
                </c:pt>
                <c:pt idx="21">
                  <c:v>18537</c:v>
                </c:pt>
                <c:pt idx="22">
                  <c:v>18568</c:v>
                </c:pt>
                <c:pt idx="23">
                  <c:v>18598</c:v>
                </c:pt>
                <c:pt idx="24">
                  <c:v>18629</c:v>
                </c:pt>
                <c:pt idx="25">
                  <c:v>18660</c:v>
                </c:pt>
                <c:pt idx="26">
                  <c:v>18688</c:v>
                </c:pt>
                <c:pt idx="27">
                  <c:v>18719</c:v>
                </c:pt>
                <c:pt idx="28">
                  <c:v>18749</c:v>
                </c:pt>
                <c:pt idx="29">
                  <c:v>18780</c:v>
                </c:pt>
                <c:pt idx="30">
                  <c:v>18810</c:v>
                </c:pt>
                <c:pt idx="31">
                  <c:v>18841</c:v>
                </c:pt>
                <c:pt idx="32">
                  <c:v>18872</c:v>
                </c:pt>
                <c:pt idx="33">
                  <c:v>18902</c:v>
                </c:pt>
                <c:pt idx="34">
                  <c:v>18933</c:v>
                </c:pt>
                <c:pt idx="35">
                  <c:v>18963</c:v>
                </c:pt>
                <c:pt idx="36">
                  <c:v>18994</c:v>
                </c:pt>
                <c:pt idx="37">
                  <c:v>19025</c:v>
                </c:pt>
                <c:pt idx="38">
                  <c:v>19054</c:v>
                </c:pt>
                <c:pt idx="39">
                  <c:v>19085</c:v>
                </c:pt>
                <c:pt idx="40">
                  <c:v>19115</c:v>
                </c:pt>
                <c:pt idx="41">
                  <c:v>19146</c:v>
                </c:pt>
                <c:pt idx="42">
                  <c:v>19176</c:v>
                </c:pt>
                <c:pt idx="43">
                  <c:v>19207</c:v>
                </c:pt>
                <c:pt idx="44">
                  <c:v>19238</c:v>
                </c:pt>
                <c:pt idx="45">
                  <c:v>19268</c:v>
                </c:pt>
                <c:pt idx="46">
                  <c:v>19299</c:v>
                </c:pt>
                <c:pt idx="47">
                  <c:v>19329</c:v>
                </c:pt>
                <c:pt idx="48">
                  <c:v>19360</c:v>
                </c:pt>
                <c:pt idx="49">
                  <c:v>19391</c:v>
                </c:pt>
                <c:pt idx="50">
                  <c:v>19419</c:v>
                </c:pt>
                <c:pt idx="51">
                  <c:v>19450</c:v>
                </c:pt>
                <c:pt idx="52">
                  <c:v>19480</c:v>
                </c:pt>
                <c:pt idx="53">
                  <c:v>19511</c:v>
                </c:pt>
                <c:pt idx="54">
                  <c:v>19541</c:v>
                </c:pt>
                <c:pt idx="55">
                  <c:v>19572</c:v>
                </c:pt>
                <c:pt idx="56">
                  <c:v>19603</c:v>
                </c:pt>
                <c:pt idx="57">
                  <c:v>19633</c:v>
                </c:pt>
                <c:pt idx="58">
                  <c:v>19664</c:v>
                </c:pt>
                <c:pt idx="59">
                  <c:v>19694</c:v>
                </c:pt>
                <c:pt idx="60">
                  <c:v>19725</c:v>
                </c:pt>
                <c:pt idx="61">
                  <c:v>19756</c:v>
                </c:pt>
                <c:pt idx="62">
                  <c:v>19784</c:v>
                </c:pt>
                <c:pt idx="63">
                  <c:v>19815</c:v>
                </c:pt>
                <c:pt idx="64">
                  <c:v>19845</c:v>
                </c:pt>
                <c:pt idx="65">
                  <c:v>19876</c:v>
                </c:pt>
                <c:pt idx="66">
                  <c:v>19906</c:v>
                </c:pt>
                <c:pt idx="67">
                  <c:v>19937</c:v>
                </c:pt>
                <c:pt idx="68">
                  <c:v>19968</c:v>
                </c:pt>
                <c:pt idx="69">
                  <c:v>19998</c:v>
                </c:pt>
                <c:pt idx="70">
                  <c:v>20029</c:v>
                </c:pt>
                <c:pt idx="71">
                  <c:v>20059</c:v>
                </c:pt>
                <c:pt idx="72">
                  <c:v>20090</c:v>
                </c:pt>
                <c:pt idx="73">
                  <c:v>20121</c:v>
                </c:pt>
                <c:pt idx="74">
                  <c:v>20149</c:v>
                </c:pt>
                <c:pt idx="75">
                  <c:v>20180</c:v>
                </c:pt>
                <c:pt idx="76">
                  <c:v>20210</c:v>
                </c:pt>
                <c:pt idx="77">
                  <c:v>20241</c:v>
                </c:pt>
                <c:pt idx="78">
                  <c:v>20271</c:v>
                </c:pt>
                <c:pt idx="79">
                  <c:v>20302</c:v>
                </c:pt>
                <c:pt idx="80">
                  <c:v>20333</c:v>
                </c:pt>
                <c:pt idx="81">
                  <c:v>20363</c:v>
                </c:pt>
                <c:pt idx="82">
                  <c:v>20394</c:v>
                </c:pt>
                <c:pt idx="83">
                  <c:v>20424</c:v>
                </c:pt>
                <c:pt idx="84">
                  <c:v>20455</c:v>
                </c:pt>
                <c:pt idx="85">
                  <c:v>20486</c:v>
                </c:pt>
                <c:pt idx="86">
                  <c:v>20515</c:v>
                </c:pt>
                <c:pt idx="87">
                  <c:v>20546</c:v>
                </c:pt>
                <c:pt idx="88">
                  <c:v>20576</c:v>
                </c:pt>
                <c:pt idx="89">
                  <c:v>20607</c:v>
                </c:pt>
                <c:pt idx="90">
                  <c:v>20637</c:v>
                </c:pt>
                <c:pt idx="91">
                  <c:v>20668</c:v>
                </c:pt>
                <c:pt idx="92">
                  <c:v>20699</c:v>
                </c:pt>
                <c:pt idx="93">
                  <c:v>20729</c:v>
                </c:pt>
                <c:pt idx="94">
                  <c:v>20760</c:v>
                </c:pt>
                <c:pt idx="95">
                  <c:v>20790</c:v>
                </c:pt>
                <c:pt idx="96">
                  <c:v>20821</c:v>
                </c:pt>
                <c:pt idx="97">
                  <c:v>20852</c:v>
                </c:pt>
                <c:pt idx="98">
                  <c:v>20880</c:v>
                </c:pt>
                <c:pt idx="99">
                  <c:v>20911</c:v>
                </c:pt>
                <c:pt idx="100">
                  <c:v>20941</c:v>
                </c:pt>
                <c:pt idx="101">
                  <c:v>20972</c:v>
                </c:pt>
                <c:pt idx="102">
                  <c:v>21002</c:v>
                </c:pt>
                <c:pt idx="103">
                  <c:v>21033</c:v>
                </c:pt>
                <c:pt idx="104">
                  <c:v>21064</c:v>
                </c:pt>
                <c:pt idx="105">
                  <c:v>21094</c:v>
                </c:pt>
                <c:pt idx="106">
                  <c:v>21125</c:v>
                </c:pt>
                <c:pt idx="107">
                  <c:v>21155</c:v>
                </c:pt>
                <c:pt idx="108">
                  <c:v>21186</c:v>
                </c:pt>
                <c:pt idx="109">
                  <c:v>21217</c:v>
                </c:pt>
                <c:pt idx="110">
                  <c:v>21245</c:v>
                </c:pt>
                <c:pt idx="111">
                  <c:v>21276</c:v>
                </c:pt>
                <c:pt idx="112">
                  <c:v>21306</c:v>
                </c:pt>
                <c:pt idx="113">
                  <c:v>21337</c:v>
                </c:pt>
                <c:pt idx="114">
                  <c:v>21367</c:v>
                </c:pt>
                <c:pt idx="115">
                  <c:v>21398</c:v>
                </c:pt>
                <c:pt idx="116">
                  <c:v>21429</c:v>
                </c:pt>
                <c:pt idx="117">
                  <c:v>21459</c:v>
                </c:pt>
                <c:pt idx="118">
                  <c:v>21490</c:v>
                </c:pt>
                <c:pt idx="119">
                  <c:v>21520</c:v>
                </c:pt>
                <c:pt idx="120">
                  <c:v>21551</c:v>
                </c:pt>
                <c:pt idx="121">
                  <c:v>21582</c:v>
                </c:pt>
                <c:pt idx="122">
                  <c:v>21610</c:v>
                </c:pt>
                <c:pt idx="123">
                  <c:v>21641</c:v>
                </c:pt>
                <c:pt idx="124">
                  <c:v>21671</c:v>
                </c:pt>
                <c:pt idx="125">
                  <c:v>21702</c:v>
                </c:pt>
                <c:pt idx="126">
                  <c:v>21732</c:v>
                </c:pt>
                <c:pt idx="127">
                  <c:v>21763</c:v>
                </c:pt>
                <c:pt idx="128">
                  <c:v>21794</c:v>
                </c:pt>
                <c:pt idx="129">
                  <c:v>21824</c:v>
                </c:pt>
                <c:pt idx="130">
                  <c:v>21855</c:v>
                </c:pt>
                <c:pt idx="131">
                  <c:v>21885</c:v>
                </c:pt>
                <c:pt idx="132">
                  <c:v>21916</c:v>
                </c:pt>
                <c:pt idx="133">
                  <c:v>21947</c:v>
                </c:pt>
                <c:pt idx="134">
                  <c:v>21976</c:v>
                </c:pt>
                <c:pt idx="135">
                  <c:v>22007</c:v>
                </c:pt>
                <c:pt idx="136">
                  <c:v>22037</c:v>
                </c:pt>
                <c:pt idx="137">
                  <c:v>22068</c:v>
                </c:pt>
                <c:pt idx="138">
                  <c:v>22098</c:v>
                </c:pt>
                <c:pt idx="139">
                  <c:v>22129</c:v>
                </c:pt>
                <c:pt idx="140">
                  <c:v>22160</c:v>
                </c:pt>
                <c:pt idx="141">
                  <c:v>22190</c:v>
                </c:pt>
                <c:pt idx="142">
                  <c:v>22221</c:v>
                </c:pt>
                <c:pt idx="143">
                  <c:v>22251</c:v>
                </c:pt>
              </c:numCache>
            </c:numRef>
          </c:cat>
          <c:val>
            <c:numRef>
              <c:f>DATOS_MODELO_VAL2!$S$2:$S$145</c:f>
              <c:numCache>
                <c:formatCode>General</c:formatCode>
                <c:ptCount val="144"/>
                <c:pt idx="0">
                  <c:v>112</c:v>
                </c:pt>
                <c:pt idx="1">
                  <c:v>118</c:v>
                </c:pt>
                <c:pt idx="2">
                  <c:v>132</c:v>
                </c:pt>
                <c:pt idx="3">
                  <c:v>129</c:v>
                </c:pt>
                <c:pt idx="4">
                  <c:v>121</c:v>
                </c:pt>
                <c:pt idx="5">
                  <c:v>135</c:v>
                </c:pt>
                <c:pt idx="6">
                  <c:v>148</c:v>
                </c:pt>
                <c:pt idx="7">
                  <c:v>148</c:v>
                </c:pt>
                <c:pt idx="8">
                  <c:v>136</c:v>
                </c:pt>
                <c:pt idx="9">
                  <c:v>119</c:v>
                </c:pt>
                <c:pt idx="10">
                  <c:v>104</c:v>
                </c:pt>
                <c:pt idx="11">
                  <c:v>118</c:v>
                </c:pt>
                <c:pt idx="12">
                  <c:v>115</c:v>
                </c:pt>
                <c:pt idx="13">
                  <c:v>126</c:v>
                </c:pt>
                <c:pt idx="14">
                  <c:v>141</c:v>
                </c:pt>
                <c:pt idx="15">
                  <c:v>135</c:v>
                </c:pt>
                <c:pt idx="16">
                  <c:v>125</c:v>
                </c:pt>
                <c:pt idx="17">
                  <c:v>149</c:v>
                </c:pt>
                <c:pt idx="18">
                  <c:v>170</c:v>
                </c:pt>
                <c:pt idx="19">
                  <c:v>170</c:v>
                </c:pt>
                <c:pt idx="20">
                  <c:v>158</c:v>
                </c:pt>
                <c:pt idx="21">
                  <c:v>133</c:v>
                </c:pt>
                <c:pt idx="22">
                  <c:v>114</c:v>
                </c:pt>
                <c:pt idx="23">
                  <c:v>140</c:v>
                </c:pt>
                <c:pt idx="24">
                  <c:v>145</c:v>
                </c:pt>
                <c:pt idx="25">
                  <c:v>150</c:v>
                </c:pt>
                <c:pt idx="26">
                  <c:v>178</c:v>
                </c:pt>
                <c:pt idx="27">
                  <c:v>163</c:v>
                </c:pt>
                <c:pt idx="28">
                  <c:v>172</c:v>
                </c:pt>
                <c:pt idx="29">
                  <c:v>178</c:v>
                </c:pt>
                <c:pt idx="30">
                  <c:v>199</c:v>
                </c:pt>
                <c:pt idx="31">
                  <c:v>199</c:v>
                </c:pt>
                <c:pt idx="32">
                  <c:v>184</c:v>
                </c:pt>
                <c:pt idx="33">
                  <c:v>162</c:v>
                </c:pt>
                <c:pt idx="34">
                  <c:v>146</c:v>
                </c:pt>
                <c:pt idx="35">
                  <c:v>166</c:v>
                </c:pt>
                <c:pt idx="36">
                  <c:v>171</c:v>
                </c:pt>
                <c:pt idx="37">
                  <c:v>180</c:v>
                </c:pt>
                <c:pt idx="38">
                  <c:v>193</c:v>
                </c:pt>
                <c:pt idx="39">
                  <c:v>181</c:v>
                </c:pt>
                <c:pt idx="40">
                  <c:v>183</c:v>
                </c:pt>
                <c:pt idx="41">
                  <c:v>218</c:v>
                </c:pt>
                <c:pt idx="42">
                  <c:v>230</c:v>
                </c:pt>
                <c:pt idx="43">
                  <c:v>242</c:v>
                </c:pt>
                <c:pt idx="44">
                  <c:v>209</c:v>
                </c:pt>
                <c:pt idx="45">
                  <c:v>191</c:v>
                </c:pt>
                <c:pt idx="46">
                  <c:v>172</c:v>
                </c:pt>
                <c:pt idx="47">
                  <c:v>194</c:v>
                </c:pt>
                <c:pt idx="48">
                  <c:v>196</c:v>
                </c:pt>
                <c:pt idx="49">
                  <c:v>196</c:v>
                </c:pt>
                <c:pt idx="50">
                  <c:v>236</c:v>
                </c:pt>
                <c:pt idx="51">
                  <c:v>235</c:v>
                </c:pt>
                <c:pt idx="52">
                  <c:v>229</c:v>
                </c:pt>
                <c:pt idx="53">
                  <c:v>243</c:v>
                </c:pt>
                <c:pt idx="54">
                  <c:v>264</c:v>
                </c:pt>
                <c:pt idx="55">
                  <c:v>272</c:v>
                </c:pt>
                <c:pt idx="56">
                  <c:v>237</c:v>
                </c:pt>
                <c:pt idx="57">
                  <c:v>211</c:v>
                </c:pt>
                <c:pt idx="58">
                  <c:v>180</c:v>
                </c:pt>
                <c:pt idx="59">
                  <c:v>201</c:v>
                </c:pt>
                <c:pt idx="60">
                  <c:v>204</c:v>
                </c:pt>
                <c:pt idx="61">
                  <c:v>188</c:v>
                </c:pt>
                <c:pt idx="62">
                  <c:v>235</c:v>
                </c:pt>
                <c:pt idx="63">
                  <c:v>227</c:v>
                </c:pt>
                <c:pt idx="64">
                  <c:v>234</c:v>
                </c:pt>
                <c:pt idx="65">
                  <c:v>264</c:v>
                </c:pt>
                <c:pt idx="66">
                  <c:v>302</c:v>
                </c:pt>
                <c:pt idx="67">
                  <c:v>293</c:v>
                </c:pt>
                <c:pt idx="68">
                  <c:v>259</c:v>
                </c:pt>
                <c:pt idx="69">
                  <c:v>229</c:v>
                </c:pt>
                <c:pt idx="70">
                  <c:v>203</c:v>
                </c:pt>
                <c:pt idx="71">
                  <c:v>229</c:v>
                </c:pt>
                <c:pt idx="72">
                  <c:v>242</c:v>
                </c:pt>
                <c:pt idx="73">
                  <c:v>233</c:v>
                </c:pt>
                <c:pt idx="74">
                  <c:v>267</c:v>
                </c:pt>
                <c:pt idx="75">
                  <c:v>269</c:v>
                </c:pt>
                <c:pt idx="76">
                  <c:v>270</c:v>
                </c:pt>
                <c:pt idx="77">
                  <c:v>315</c:v>
                </c:pt>
                <c:pt idx="78">
                  <c:v>364</c:v>
                </c:pt>
                <c:pt idx="79">
                  <c:v>347</c:v>
                </c:pt>
                <c:pt idx="80">
                  <c:v>312</c:v>
                </c:pt>
                <c:pt idx="81">
                  <c:v>274</c:v>
                </c:pt>
                <c:pt idx="82">
                  <c:v>237</c:v>
                </c:pt>
                <c:pt idx="83">
                  <c:v>278</c:v>
                </c:pt>
                <c:pt idx="84">
                  <c:v>284</c:v>
                </c:pt>
                <c:pt idx="85">
                  <c:v>277</c:v>
                </c:pt>
                <c:pt idx="86">
                  <c:v>317</c:v>
                </c:pt>
                <c:pt idx="87">
                  <c:v>313</c:v>
                </c:pt>
                <c:pt idx="88">
                  <c:v>318</c:v>
                </c:pt>
                <c:pt idx="89">
                  <c:v>374</c:v>
                </c:pt>
                <c:pt idx="90">
                  <c:v>413</c:v>
                </c:pt>
                <c:pt idx="91">
                  <c:v>405</c:v>
                </c:pt>
                <c:pt idx="92">
                  <c:v>355</c:v>
                </c:pt>
                <c:pt idx="93">
                  <c:v>306</c:v>
                </c:pt>
                <c:pt idx="94">
                  <c:v>271</c:v>
                </c:pt>
                <c:pt idx="95">
                  <c:v>306</c:v>
                </c:pt>
                <c:pt idx="96">
                  <c:v>315</c:v>
                </c:pt>
                <c:pt idx="97">
                  <c:v>301</c:v>
                </c:pt>
                <c:pt idx="98">
                  <c:v>356</c:v>
                </c:pt>
                <c:pt idx="99">
                  <c:v>348</c:v>
                </c:pt>
                <c:pt idx="100">
                  <c:v>355</c:v>
                </c:pt>
                <c:pt idx="101">
                  <c:v>422</c:v>
                </c:pt>
                <c:pt idx="102">
                  <c:v>465</c:v>
                </c:pt>
                <c:pt idx="103">
                  <c:v>467</c:v>
                </c:pt>
                <c:pt idx="104">
                  <c:v>404</c:v>
                </c:pt>
                <c:pt idx="105">
                  <c:v>347</c:v>
                </c:pt>
                <c:pt idx="106">
                  <c:v>305</c:v>
                </c:pt>
                <c:pt idx="107">
                  <c:v>336</c:v>
                </c:pt>
                <c:pt idx="108">
                  <c:v>340</c:v>
                </c:pt>
                <c:pt idx="109">
                  <c:v>318</c:v>
                </c:pt>
                <c:pt idx="110">
                  <c:v>362</c:v>
                </c:pt>
                <c:pt idx="111">
                  <c:v>348</c:v>
                </c:pt>
                <c:pt idx="112">
                  <c:v>363</c:v>
                </c:pt>
                <c:pt idx="113">
                  <c:v>435</c:v>
                </c:pt>
                <c:pt idx="114">
                  <c:v>491</c:v>
                </c:pt>
                <c:pt idx="115">
                  <c:v>505</c:v>
                </c:pt>
                <c:pt idx="116">
                  <c:v>404</c:v>
                </c:pt>
                <c:pt idx="117">
                  <c:v>359</c:v>
                </c:pt>
                <c:pt idx="118">
                  <c:v>310</c:v>
                </c:pt>
                <c:pt idx="119">
                  <c:v>337</c:v>
                </c:pt>
                <c:pt idx="120">
                  <c:v>360</c:v>
                </c:pt>
                <c:pt idx="121">
                  <c:v>342</c:v>
                </c:pt>
                <c:pt idx="122">
                  <c:v>406</c:v>
                </c:pt>
                <c:pt idx="123">
                  <c:v>396</c:v>
                </c:pt>
                <c:pt idx="124">
                  <c:v>420</c:v>
                </c:pt>
                <c:pt idx="125">
                  <c:v>472</c:v>
                </c:pt>
                <c:pt idx="126">
                  <c:v>548</c:v>
                </c:pt>
                <c:pt idx="127">
                  <c:v>559</c:v>
                </c:pt>
                <c:pt idx="128">
                  <c:v>463</c:v>
                </c:pt>
                <c:pt idx="129">
                  <c:v>407</c:v>
                </c:pt>
                <c:pt idx="130">
                  <c:v>362</c:v>
                </c:pt>
                <c:pt idx="131">
                  <c:v>405</c:v>
                </c:pt>
                <c:pt idx="132">
                  <c:v>417</c:v>
                </c:pt>
                <c:pt idx="133">
                  <c:v>391</c:v>
                </c:pt>
                <c:pt idx="134">
                  <c:v>419</c:v>
                </c:pt>
                <c:pt idx="135">
                  <c:v>461</c:v>
                </c:pt>
                <c:pt idx="136">
                  <c:v>472</c:v>
                </c:pt>
                <c:pt idx="137">
                  <c:v>535</c:v>
                </c:pt>
                <c:pt idx="138">
                  <c:v>622</c:v>
                </c:pt>
                <c:pt idx="139">
                  <c:v>606</c:v>
                </c:pt>
                <c:pt idx="140">
                  <c:v>508</c:v>
                </c:pt>
                <c:pt idx="141">
                  <c:v>461</c:v>
                </c:pt>
                <c:pt idx="142">
                  <c:v>390</c:v>
                </c:pt>
                <c:pt idx="143">
                  <c:v>432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C66-415C-87AE-91312BADF161}"/>
            </c:ext>
          </c:extLst>
        </c:ser>
        <c:ser>
          <c:idx val="1"/>
          <c:order val="1"/>
          <c:tx>
            <c:strRef>
              <c:f>DATOS_MODELO_VAL2!$T$1</c:f>
              <c:strCache>
                <c:ptCount val="1"/>
                <c:pt idx="0">
                  <c:v>Modelo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DATOS_MODELO_VAL2!$R$2:$R$145</c:f>
              <c:numCache>
                <c:formatCode>m/d/yyyy</c:formatCode>
                <c:ptCount val="144"/>
                <c:pt idx="0">
                  <c:v>17899</c:v>
                </c:pt>
                <c:pt idx="1">
                  <c:v>17930</c:v>
                </c:pt>
                <c:pt idx="2">
                  <c:v>17958</c:v>
                </c:pt>
                <c:pt idx="3">
                  <c:v>17989</c:v>
                </c:pt>
                <c:pt idx="4">
                  <c:v>18019</c:v>
                </c:pt>
                <c:pt idx="5">
                  <c:v>18050</c:v>
                </c:pt>
                <c:pt idx="6">
                  <c:v>18080</c:v>
                </c:pt>
                <c:pt idx="7">
                  <c:v>18111</c:v>
                </c:pt>
                <c:pt idx="8">
                  <c:v>18142</c:v>
                </c:pt>
                <c:pt idx="9">
                  <c:v>18172</c:v>
                </c:pt>
                <c:pt idx="10">
                  <c:v>18203</c:v>
                </c:pt>
                <c:pt idx="11">
                  <c:v>18233</c:v>
                </c:pt>
                <c:pt idx="12">
                  <c:v>18264</c:v>
                </c:pt>
                <c:pt idx="13">
                  <c:v>18295</c:v>
                </c:pt>
                <c:pt idx="14">
                  <c:v>18323</c:v>
                </c:pt>
                <c:pt idx="15">
                  <c:v>18354</c:v>
                </c:pt>
                <c:pt idx="16">
                  <c:v>18384</c:v>
                </c:pt>
                <c:pt idx="17">
                  <c:v>18415</c:v>
                </c:pt>
                <c:pt idx="18">
                  <c:v>18445</c:v>
                </c:pt>
                <c:pt idx="19">
                  <c:v>18476</c:v>
                </c:pt>
                <c:pt idx="20">
                  <c:v>18507</c:v>
                </c:pt>
                <c:pt idx="21">
                  <c:v>18537</c:v>
                </c:pt>
                <c:pt idx="22">
                  <c:v>18568</c:v>
                </c:pt>
                <c:pt idx="23">
                  <c:v>18598</c:v>
                </c:pt>
                <c:pt idx="24">
                  <c:v>18629</c:v>
                </c:pt>
                <c:pt idx="25">
                  <c:v>18660</c:v>
                </c:pt>
                <c:pt idx="26">
                  <c:v>18688</c:v>
                </c:pt>
                <c:pt idx="27">
                  <c:v>18719</c:v>
                </c:pt>
                <c:pt idx="28">
                  <c:v>18749</c:v>
                </c:pt>
                <c:pt idx="29">
                  <c:v>18780</c:v>
                </c:pt>
                <c:pt idx="30">
                  <c:v>18810</c:v>
                </c:pt>
                <c:pt idx="31">
                  <c:v>18841</c:v>
                </c:pt>
                <c:pt idx="32">
                  <c:v>18872</c:v>
                </c:pt>
                <c:pt idx="33">
                  <c:v>18902</c:v>
                </c:pt>
                <c:pt idx="34">
                  <c:v>18933</c:v>
                </c:pt>
                <c:pt idx="35">
                  <c:v>18963</c:v>
                </c:pt>
                <c:pt idx="36">
                  <c:v>18994</c:v>
                </c:pt>
                <c:pt idx="37">
                  <c:v>19025</c:v>
                </c:pt>
                <c:pt idx="38">
                  <c:v>19054</c:v>
                </c:pt>
                <c:pt idx="39">
                  <c:v>19085</c:v>
                </c:pt>
                <c:pt idx="40">
                  <c:v>19115</c:v>
                </c:pt>
                <c:pt idx="41">
                  <c:v>19146</c:v>
                </c:pt>
                <c:pt idx="42">
                  <c:v>19176</c:v>
                </c:pt>
                <c:pt idx="43">
                  <c:v>19207</c:v>
                </c:pt>
                <c:pt idx="44">
                  <c:v>19238</c:v>
                </c:pt>
                <c:pt idx="45">
                  <c:v>19268</c:v>
                </c:pt>
                <c:pt idx="46">
                  <c:v>19299</c:v>
                </c:pt>
                <c:pt idx="47">
                  <c:v>19329</c:v>
                </c:pt>
                <c:pt idx="48">
                  <c:v>19360</c:v>
                </c:pt>
                <c:pt idx="49">
                  <c:v>19391</c:v>
                </c:pt>
                <c:pt idx="50">
                  <c:v>19419</c:v>
                </c:pt>
                <c:pt idx="51">
                  <c:v>19450</c:v>
                </c:pt>
                <c:pt idx="52">
                  <c:v>19480</c:v>
                </c:pt>
                <c:pt idx="53">
                  <c:v>19511</c:v>
                </c:pt>
                <c:pt idx="54">
                  <c:v>19541</c:v>
                </c:pt>
                <c:pt idx="55">
                  <c:v>19572</c:v>
                </c:pt>
                <c:pt idx="56">
                  <c:v>19603</c:v>
                </c:pt>
                <c:pt idx="57">
                  <c:v>19633</c:v>
                </c:pt>
                <c:pt idx="58">
                  <c:v>19664</c:v>
                </c:pt>
                <c:pt idx="59">
                  <c:v>19694</c:v>
                </c:pt>
                <c:pt idx="60">
                  <c:v>19725</c:v>
                </c:pt>
                <c:pt idx="61">
                  <c:v>19756</c:v>
                </c:pt>
                <c:pt idx="62">
                  <c:v>19784</c:v>
                </c:pt>
                <c:pt idx="63">
                  <c:v>19815</c:v>
                </c:pt>
                <c:pt idx="64">
                  <c:v>19845</c:v>
                </c:pt>
                <c:pt idx="65">
                  <c:v>19876</c:v>
                </c:pt>
                <c:pt idx="66">
                  <c:v>19906</c:v>
                </c:pt>
                <c:pt idx="67">
                  <c:v>19937</c:v>
                </c:pt>
                <c:pt idx="68">
                  <c:v>19968</c:v>
                </c:pt>
                <c:pt idx="69">
                  <c:v>19998</c:v>
                </c:pt>
                <c:pt idx="70">
                  <c:v>20029</c:v>
                </c:pt>
                <c:pt idx="71">
                  <c:v>20059</c:v>
                </c:pt>
                <c:pt idx="72">
                  <c:v>20090</c:v>
                </c:pt>
                <c:pt idx="73">
                  <c:v>20121</c:v>
                </c:pt>
                <c:pt idx="74">
                  <c:v>20149</c:v>
                </c:pt>
                <c:pt idx="75">
                  <c:v>20180</c:v>
                </c:pt>
                <c:pt idx="76">
                  <c:v>20210</c:v>
                </c:pt>
                <c:pt idx="77">
                  <c:v>20241</c:v>
                </c:pt>
                <c:pt idx="78">
                  <c:v>20271</c:v>
                </c:pt>
                <c:pt idx="79">
                  <c:v>20302</c:v>
                </c:pt>
                <c:pt idx="80">
                  <c:v>20333</c:v>
                </c:pt>
                <c:pt idx="81">
                  <c:v>20363</c:v>
                </c:pt>
                <c:pt idx="82">
                  <c:v>20394</c:v>
                </c:pt>
                <c:pt idx="83">
                  <c:v>20424</c:v>
                </c:pt>
                <c:pt idx="84">
                  <c:v>20455</c:v>
                </c:pt>
                <c:pt idx="85">
                  <c:v>20486</c:v>
                </c:pt>
                <c:pt idx="86">
                  <c:v>20515</c:v>
                </c:pt>
                <c:pt idx="87">
                  <c:v>20546</c:v>
                </c:pt>
                <c:pt idx="88">
                  <c:v>20576</c:v>
                </c:pt>
                <c:pt idx="89">
                  <c:v>20607</c:v>
                </c:pt>
                <c:pt idx="90">
                  <c:v>20637</c:v>
                </c:pt>
                <c:pt idx="91">
                  <c:v>20668</c:v>
                </c:pt>
                <c:pt idx="92">
                  <c:v>20699</c:v>
                </c:pt>
                <c:pt idx="93">
                  <c:v>20729</c:v>
                </c:pt>
                <c:pt idx="94">
                  <c:v>20760</c:v>
                </c:pt>
                <c:pt idx="95">
                  <c:v>20790</c:v>
                </c:pt>
                <c:pt idx="96">
                  <c:v>20821</c:v>
                </c:pt>
                <c:pt idx="97">
                  <c:v>20852</c:v>
                </c:pt>
                <c:pt idx="98">
                  <c:v>20880</c:v>
                </c:pt>
                <c:pt idx="99">
                  <c:v>20911</c:v>
                </c:pt>
                <c:pt idx="100">
                  <c:v>20941</c:v>
                </c:pt>
                <c:pt idx="101">
                  <c:v>20972</c:v>
                </c:pt>
                <c:pt idx="102">
                  <c:v>21002</c:v>
                </c:pt>
                <c:pt idx="103">
                  <c:v>21033</c:v>
                </c:pt>
                <c:pt idx="104">
                  <c:v>21064</c:v>
                </c:pt>
                <c:pt idx="105">
                  <c:v>21094</c:v>
                </c:pt>
                <c:pt idx="106">
                  <c:v>21125</c:v>
                </c:pt>
                <c:pt idx="107">
                  <c:v>21155</c:v>
                </c:pt>
                <c:pt idx="108">
                  <c:v>21186</c:v>
                </c:pt>
                <c:pt idx="109">
                  <c:v>21217</c:v>
                </c:pt>
                <c:pt idx="110">
                  <c:v>21245</c:v>
                </c:pt>
                <c:pt idx="111">
                  <c:v>21276</c:v>
                </c:pt>
                <c:pt idx="112">
                  <c:v>21306</c:v>
                </c:pt>
                <c:pt idx="113">
                  <c:v>21337</c:v>
                </c:pt>
                <c:pt idx="114">
                  <c:v>21367</c:v>
                </c:pt>
                <c:pt idx="115">
                  <c:v>21398</c:v>
                </c:pt>
                <c:pt idx="116">
                  <c:v>21429</c:v>
                </c:pt>
                <c:pt idx="117">
                  <c:v>21459</c:v>
                </c:pt>
                <c:pt idx="118">
                  <c:v>21490</c:v>
                </c:pt>
                <c:pt idx="119">
                  <c:v>21520</c:v>
                </c:pt>
                <c:pt idx="120">
                  <c:v>21551</c:v>
                </c:pt>
                <c:pt idx="121">
                  <c:v>21582</c:v>
                </c:pt>
                <c:pt idx="122">
                  <c:v>21610</c:v>
                </c:pt>
                <c:pt idx="123">
                  <c:v>21641</c:v>
                </c:pt>
                <c:pt idx="124">
                  <c:v>21671</c:v>
                </c:pt>
                <c:pt idx="125">
                  <c:v>21702</c:v>
                </c:pt>
                <c:pt idx="126">
                  <c:v>21732</c:v>
                </c:pt>
                <c:pt idx="127">
                  <c:v>21763</c:v>
                </c:pt>
                <c:pt idx="128">
                  <c:v>21794</c:v>
                </c:pt>
                <c:pt idx="129">
                  <c:v>21824</c:v>
                </c:pt>
                <c:pt idx="130">
                  <c:v>21855</c:v>
                </c:pt>
                <c:pt idx="131">
                  <c:v>21885</c:v>
                </c:pt>
                <c:pt idx="132">
                  <c:v>21916</c:v>
                </c:pt>
                <c:pt idx="133">
                  <c:v>21947</c:v>
                </c:pt>
                <c:pt idx="134">
                  <c:v>21976</c:v>
                </c:pt>
                <c:pt idx="135">
                  <c:v>22007</c:v>
                </c:pt>
                <c:pt idx="136">
                  <c:v>22037</c:v>
                </c:pt>
                <c:pt idx="137">
                  <c:v>22068</c:v>
                </c:pt>
                <c:pt idx="138">
                  <c:v>22098</c:v>
                </c:pt>
                <c:pt idx="139">
                  <c:v>22129</c:v>
                </c:pt>
                <c:pt idx="140">
                  <c:v>22160</c:v>
                </c:pt>
                <c:pt idx="141">
                  <c:v>22190</c:v>
                </c:pt>
                <c:pt idx="142">
                  <c:v>22221</c:v>
                </c:pt>
                <c:pt idx="143">
                  <c:v>22251</c:v>
                </c:pt>
              </c:numCache>
            </c:numRef>
          </c:cat>
          <c:val>
            <c:numRef>
              <c:f>DATOS_MODELO_VAL2!$T$2:$T$145</c:f>
              <c:numCache>
                <c:formatCode>General</c:formatCode>
                <c:ptCount val="144"/>
                <c:pt idx="6">
                  <c:v>143.63925658100453</c:v>
                </c:pt>
                <c:pt idx="7">
                  <c:v>157.13933654618069</c:v>
                </c:pt>
                <c:pt idx="8">
                  <c:v>152.52065079174281</c:v>
                </c:pt>
                <c:pt idx="9">
                  <c:v>133.62179927415625</c:v>
                </c:pt>
                <c:pt idx="10">
                  <c:v>119.81904640050979</c:v>
                </c:pt>
                <c:pt idx="11">
                  <c:v>110.3993995402511</c:v>
                </c:pt>
                <c:pt idx="12">
                  <c:v>135.06328032660059</c:v>
                </c:pt>
                <c:pt idx="13">
                  <c:v>122.14384766660081</c:v>
                </c:pt>
                <c:pt idx="14">
                  <c:v>138.08287467360074</c:v>
                </c:pt>
                <c:pt idx="15">
                  <c:v>145.10487527099133</c:v>
                </c:pt>
                <c:pt idx="16">
                  <c:v>137.5306131279801</c:v>
                </c:pt>
                <c:pt idx="17">
                  <c:v>125.50429269330756</c:v>
                </c:pt>
                <c:pt idx="18">
                  <c:v>160.97216001657515</c:v>
                </c:pt>
                <c:pt idx="19">
                  <c:v>180.25885269912362</c:v>
                </c:pt>
                <c:pt idx="20">
                  <c:v>172.49433579527897</c:v>
                </c:pt>
                <c:pt idx="21">
                  <c:v>152.16421484506924</c:v>
                </c:pt>
                <c:pt idx="22">
                  <c:v>129.70337339341063</c:v>
                </c:pt>
                <c:pt idx="23">
                  <c:v>120.91161006653635</c:v>
                </c:pt>
                <c:pt idx="24">
                  <c:v>161.37867421952609</c:v>
                </c:pt>
                <c:pt idx="25">
                  <c:v>154.03427875697415</c:v>
                </c:pt>
                <c:pt idx="26">
                  <c:v>158.2821422683503</c:v>
                </c:pt>
                <c:pt idx="27">
                  <c:v>182.76592563933394</c:v>
                </c:pt>
                <c:pt idx="28">
                  <c:v>158.90046375626818</c:v>
                </c:pt>
                <c:pt idx="29">
                  <c:v>180.38525752247244</c:v>
                </c:pt>
                <c:pt idx="30">
                  <c:v>177.25352479886584</c:v>
                </c:pt>
                <c:pt idx="31">
                  <c:v>214.09942156701067</c:v>
                </c:pt>
                <c:pt idx="32">
                  <c:v>196.40501060664792</c:v>
                </c:pt>
                <c:pt idx="33">
                  <c:v>182.44545977626876</c:v>
                </c:pt>
                <c:pt idx="34">
                  <c:v>158.45371655272714</c:v>
                </c:pt>
                <c:pt idx="35">
                  <c:v>152.78794482298454</c:v>
                </c:pt>
                <c:pt idx="36">
                  <c:v>185.10187395069084</c:v>
                </c:pt>
                <c:pt idx="37">
                  <c:v>179.50697876853673</c:v>
                </c:pt>
                <c:pt idx="38">
                  <c:v>188.61380300080907</c:v>
                </c:pt>
                <c:pt idx="39">
                  <c:v>193.86355414556408</c:v>
                </c:pt>
                <c:pt idx="40">
                  <c:v>179.58685176100616</c:v>
                </c:pt>
                <c:pt idx="41">
                  <c:v>188.17983402858798</c:v>
                </c:pt>
                <c:pt idx="42">
                  <c:v>230.45427986866281</c:v>
                </c:pt>
                <c:pt idx="43">
                  <c:v>235.15955984295533</c:v>
                </c:pt>
                <c:pt idx="44">
                  <c:v>244.42181070779191</c:v>
                </c:pt>
                <c:pt idx="45">
                  <c:v>191.97081470580159</c:v>
                </c:pt>
                <c:pt idx="46">
                  <c:v>194.84073584168158</c:v>
                </c:pt>
                <c:pt idx="47">
                  <c:v>173.88765168867127</c:v>
                </c:pt>
                <c:pt idx="48">
                  <c:v>218.78556557231394</c:v>
                </c:pt>
                <c:pt idx="49">
                  <c:v>200.73979855279137</c:v>
                </c:pt>
                <c:pt idx="50">
                  <c:v>202.99390612125987</c:v>
                </c:pt>
                <c:pt idx="51">
                  <c:v>245.31329843004167</c:v>
                </c:pt>
                <c:pt idx="52">
                  <c:v>232.31934989612986</c:v>
                </c:pt>
                <c:pt idx="53">
                  <c:v>229.66064256272199</c:v>
                </c:pt>
                <c:pt idx="54">
                  <c:v>242.09862431939371</c:v>
                </c:pt>
                <c:pt idx="55">
                  <c:v>274.28229426562973</c:v>
                </c:pt>
                <c:pt idx="56">
                  <c:v>274.6636204635347</c:v>
                </c:pt>
                <c:pt idx="57">
                  <c:v>223.88681367679493</c:v>
                </c:pt>
                <c:pt idx="58">
                  <c:v>208.96429350699287</c:v>
                </c:pt>
                <c:pt idx="59">
                  <c:v>181.15923330173339</c:v>
                </c:pt>
                <c:pt idx="60">
                  <c:v>228.12023376415425</c:v>
                </c:pt>
                <c:pt idx="61">
                  <c:v>211.5139721802428</c:v>
                </c:pt>
                <c:pt idx="62">
                  <c:v>192.6571687393992</c:v>
                </c:pt>
                <c:pt idx="63">
                  <c:v>248.79944675771711</c:v>
                </c:pt>
                <c:pt idx="64">
                  <c:v>221.51697005766087</c:v>
                </c:pt>
                <c:pt idx="65">
                  <c:v>243.55372468245511</c:v>
                </c:pt>
                <c:pt idx="66">
                  <c:v>262.79753597803199</c:v>
                </c:pt>
                <c:pt idx="67">
                  <c:v>315.43612727328872</c:v>
                </c:pt>
                <c:pt idx="68">
                  <c:v>282.54183876920393</c:v>
                </c:pt>
                <c:pt idx="69">
                  <c:v>244.79023703681483</c:v>
                </c:pt>
                <c:pt idx="70">
                  <c:v>222.71093539367209</c:v>
                </c:pt>
                <c:pt idx="71">
                  <c:v>211.23899131861612</c:v>
                </c:pt>
                <c:pt idx="72">
                  <c:v>255.06303342135971</c:v>
                </c:pt>
                <c:pt idx="73">
                  <c:v>251.74637405151208</c:v>
                </c:pt>
                <c:pt idx="74">
                  <c:v>235.35677474008912</c:v>
                </c:pt>
                <c:pt idx="75">
                  <c:v>273.51680383975634</c:v>
                </c:pt>
                <c:pt idx="76">
                  <c:v>265.52927327642385</c:v>
                </c:pt>
                <c:pt idx="77">
                  <c:v>274.67139241362224</c:v>
                </c:pt>
                <c:pt idx="78">
                  <c:v>321.67861720929534</c:v>
                </c:pt>
                <c:pt idx="79">
                  <c:v>373.81156941335178</c:v>
                </c:pt>
                <c:pt idx="80">
                  <c:v>332.47710122268046</c:v>
                </c:pt>
                <c:pt idx="81">
                  <c:v>293.1923765553081</c:v>
                </c:pt>
                <c:pt idx="82">
                  <c:v>263.08240890508876</c:v>
                </c:pt>
                <c:pt idx="83">
                  <c:v>245.38035830651444</c:v>
                </c:pt>
                <c:pt idx="84">
                  <c:v>309.7623829991357</c:v>
                </c:pt>
                <c:pt idx="85">
                  <c:v>290.53961108378962</c:v>
                </c:pt>
                <c:pt idx="86">
                  <c:v>281.91376858704842</c:v>
                </c:pt>
                <c:pt idx="87">
                  <c:v>319.8502742372325</c:v>
                </c:pt>
                <c:pt idx="88">
                  <c:v>308.34311468505274</c:v>
                </c:pt>
                <c:pt idx="89">
                  <c:v>322.78735147974999</c:v>
                </c:pt>
                <c:pt idx="90">
                  <c:v>381.03137974013561</c:v>
                </c:pt>
                <c:pt idx="91">
                  <c:v>418.49941994712179</c:v>
                </c:pt>
                <c:pt idx="92">
                  <c:v>391.96326595698849</c:v>
                </c:pt>
                <c:pt idx="93">
                  <c:v>327.07813779024195</c:v>
                </c:pt>
                <c:pt idx="94">
                  <c:v>296.55751751097404</c:v>
                </c:pt>
                <c:pt idx="95">
                  <c:v>279.0920922643528</c:v>
                </c:pt>
                <c:pt idx="96">
                  <c:v>339.86155751016065</c:v>
                </c:pt>
                <c:pt idx="97">
                  <c:v>324.65268526010379</c:v>
                </c:pt>
                <c:pt idx="98">
                  <c:v>301.84558157864501</c:v>
                </c:pt>
                <c:pt idx="99">
                  <c:v>365.40273632278104</c:v>
                </c:pt>
                <c:pt idx="100">
                  <c:v>337.92415118688371</c:v>
                </c:pt>
                <c:pt idx="101">
                  <c:v>361.62513061647519</c:v>
                </c:pt>
                <c:pt idx="102">
                  <c:v>427.04203543801577</c:v>
                </c:pt>
                <c:pt idx="103">
                  <c:v>470.55482181494563</c:v>
                </c:pt>
                <c:pt idx="104">
                  <c:v>453.79099612196126</c:v>
                </c:pt>
                <c:pt idx="105">
                  <c:v>366.49763417645727</c:v>
                </c:pt>
                <c:pt idx="106">
                  <c:v>335.83689805668735</c:v>
                </c:pt>
                <c:pt idx="107">
                  <c:v>310.04445540515155</c:v>
                </c:pt>
                <c:pt idx="108">
                  <c:v>373.56537156111904</c:v>
                </c:pt>
                <c:pt idx="109">
                  <c:v>349.8720839454071</c:v>
                </c:pt>
                <c:pt idx="110">
                  <c:v>318.40858625510958</c:v>
                </c:pt>
                <c:pt idx="111">
                  <c:v>370.16158958009805</c:v>
                </c:pt>
                <c:pt idx="112">
                  <c:v>339.44794342525302</c:v>
                </c:pt>
                <c:pt idx="113">
                  <c:v>375.20111297870199</c:v>
                </c:pt>
                <c:pt idx="114">
                  <c:v>442.42444234170387</c:v>
                </c:pt>
                <c:pt idx="115">
                  <c:v>499.5595258543575</c:v>
                </c:pt>
                <c:pt idx="116">
                  <c:v>489.73964415294461</c:v>
                </c:pt>
                <c:pt idx="117">
                  <c:v>351.36968125496065</c:v>
                </c:pt>
                <c:pt idx="118">
                  <c:v>354.55909305097384</c:v>
                </c:pt>
                <c:pt idx="119">
                  <c:v>310.21268165555091</c:v>
                </c:pt>
                <c:pt idx="120">
                  <c:v>384.33979342796255</c:v>
                </c:pt>
                <c:pt idx="121">
                  <c:v>370.92619913964904</c:v>
                </c:pt>
                <c:pt idx="122">
                  <c:v>342.43804988981776</c:v>
                </c:pt>
                <c:pt idx="123">
                  <c:v>418.35614564382269</c:v>
                </c:pt>
                <c:pt idx="124">
                  <c:v>378.89693011250642</c:v>
                </c:pt>
                <c:pt idx="125">
                  <c:v>432.335159725869</c:v>
                </c:pt>
                <c:pt idx="126">
                  <c:v>465.98356273078036</c:v>
                </c:pt>
                <c:pt idx="127">
                  <c:v>564.93575604761816</c:v>
                </c:pt>
                <c:pt idx="128">
                  <c:v>537.06667843265961</c:v>
                </c:pt>
                <c:pt idx="129">
                  <c:v>415.91886694722007</c:v>
                </c:pt>
                <c:pt idx="130">
                  <c:v>391.19384226965229</c:v>
                </c:pt>
                <c:pt idx="131">
                  <c:v>366.13605994000659</c:v>
                </c:pt>
                <c:pt idx="132">
                  <c:v>454.21254809304583</c:v>
                </c:pt>
                <c:pt idx="133">
                  <c:v>423.44790670401107</c:v>
                </c:pt>
                <c:pt idx="134">
                  <c:v>387.54590954547234</c:v>
                </c:pt>
                <c:pt idx="135">
                  <c:v>418.26617158879549</c:v>
                </c:pt>
                <c:pt idx="136">
                  <c:v>469.08034165980456</c:v>
                </c:pt>
                <c:pt idx="137">
                  <c:v>472.99722799334722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C66-415C-87AE-91312BADF161}"/>
            </c:ext>
          </c:extLst>
        </c:ser>
        <c:ser>
          <c:idx val="2"/>
          <c:order val="2"/>
          <c:tx>
            <c:strRef>
              <c:f>DATOS_MODELO_VAL2!$U$1</c:f>
              <c:strCache>
                <c:ptCount val="1"/>
                <c:pt idx="0">
                  <c:v>Pronostico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DATOS_MODELO_VAL2!$R$2:$R$145</c:f>
              <c:numCache>
                <c:formatCode>m/d/yyyy</c:formatCode>
                <c:ptCount val="144"/>
                <c:pt idx="0">
                  <c:v>17899</c:v>
                </c:pt>
                <c:pt idx="1">
                  <c:v>17930</c:v>
                </c:pt>
                <c:pt idx="2">
                  <c:v>17958</c:v>
                </c:pt>
                <c:pt idx="3">
                  <c:v>17989</c:v>
                </c:pt>
                <c:pt idx="4">
                  <c:v>18019</c:v>
                </c:pt>
                <c:pt idx="5">
                  <c:v>18050</c:v>
                </c:pt>
                <c:pt idx="6">
                  <c:v>18080</c:v>
                </c:pt>
                <c:pt idx="7">
                  <c:v>18111</c:v>
                </c:pt>
                <c:pt idx="8">
                  <c:v>18142</c:v>
                </c:pt>
                <c:pt idx="9">
                  <c:v>18172</c:v>
                </c:pt>
                <c:pt idx="10">
                  <c:v>18203</c:v>
                </c:pt>
                <c:pt idx="11">
                  <c:v>18233</c:v>
                </c:pt>
                <c:pt idx="12">
                  <c:v>18264</c:v>
                </c:pt>
                <c:pt idx="13">
                  <c:v>18295</c:v>
                </c:pt>
                <c:pt idx="14">
                  <c:v>18323</c:v>
                </c:pt>
                <c:pt idx="15">
                  <c:v>18354</c:v>
                </c:pt>
                <c:pt idx="16">
                  <c:v>18384</c:v>
                </c:pt>
                <c:pt idx="17">
                  <c:v>18415</c:v>
                </c:pt>
                <c:pt idx="18">
                  <c:v>18445</c:v>
                </c:pt>
                <c:pt idx="19">
                  <c:v>18476</c:v>
                </c:pt>
                <c:pt idx="20">
                  <c:v>18507</c:v>
                </c:pt>
                <c:pt idx="21">
                  <c:v>18537</c:v>
                </c:pt>
                <c:pt idx="22">
                  <c:v>18568</c:v>
                </c:pt>
                <c:pt idx="23">
                  <c:v>18598</c:v>
                </c:pt>
                <c:pt idx="24">
                  <c:v>18629</c:v>
                </c:pt>
                <c:pt idx="25">
                  <c:v>18660</c:v>
                </c:pt>
                <c:pt idx="26">
                  <c:v>18688</c:v>
                </c:pt>
                <c:pt idx="27">
                  <c:v>18719</c:v>
                </c:pt>
                <c:pt idx="28">
                  <c:v>18749</c:v>
                </c:pt>
                <c:pt idx="29">
                  <c:v>18780</c:v>
                </c:pt>
                <c:pt idx="30">
                  <c:v>18810</c:v>
                </c:pt>
                <c:pt idx="31">
                  <c:v>18841</c:v>
                </c:pt>
                <c:pt idx="32">
                  <c:v>18872</c:v>
                </c:pt>
                <c:pt idx="33">
                  <c:v>18902</c:v>
                </c:pt>
                <c:pt idx="34">
                  <c:v>18933</c:v>
                </c:pt>
                <c:pt idx="35">
                  <c:v>18963</c:v>
                </c:pt>
                <c:pt idx="36">
                  <c:v>18994</c:v>
                </c:pt>
                <c:pt idx="37">
                  <c:v>19025</c:v>
                </c:pt>
                <c:pt idx="38">
                  <c:v>19054</c:v>
                </c:pt>
                <c:pt idx="39">
                  <c:v>19085</c:v>
                </c:pt>
                <c:pt idx="40">
                  <c:v>19115</c:v>
                </c:pt>
                <c:pt idx="41">
                  <c:v>19146</c:v>
                </c:pt>
                <c:pt idx="42">
                  <c:v>19176</c:v>
                </c:pt>
                <c:pt idx="43">
                  <c:v>19207</c:v>
                </c:pt>
                <c:pt idx="44">
                  <c:v>19238</c:v>
                </c:pt>
                <c:pt idx="45">
                  <c:v>19268</c:v>
                </c:pt>
                <c:pt idx="46">
                  <c:v>19299</c:v>
                </c:pt>
                <c:pt idx="47">
                  <c:v>19329</c:v>
                </c:pt>
                <c:pt idx="48">
                  <c:v>19360</c:v>
                </c:pt>
                <c:pt idx="49">
                  <c:v>19391</c:v>
                </c:pt>
                <c:pt idx="50">
                  <c:v>19419</c:v>
                </c:pt>
                <c:pt idx="51">
                  <c:v>19450</c:v>
                </c:pt>
                <c:pt idx="52">
                  <c:v>19480</c:v>
                </c:pt>
                <c:pt idx="53">
                  <c:v>19511</c:v>
                </c:pt>
                <c:pt idx="54">
                  <c:v>19541</c:v>
                </c:pt>
                <c:pt idx="55">
                  <c:v>19572</c:v>
                </c:pt>
                <c:pt idx="56">
                  <c:v>19603</c:v>
                </c:pt>
                <c:pt idx="57">
                  <c:v>19633</c:v>
                </c:pt>
                <c:pt idx="58">
                  <c:v>19664</c:v>
                </c:pt>
                <c:pt idx="59">
                  <c:v>19694</c:v>
                </c:pt>
                <c:pt idx="60">
                  <c:v>19725</c:v>
                </c:pt>
                <c:pt idx="61">
                  <c:v>19756</c:v>
                </c:pt>
                <c:pt idx="62">
                  <c:v>19784</c:v>
                </c:pt>
                <c:pt idx="63">
                  <c:v>19815</c:v>
                </c:pt>
                <c:pt idx="64">
                  <c:v>19845</c:v>
                </c:pt>
                <c:pt idx="65">
                  <c:v>19876</c:v>
                </c:pt>
                <c:pt idx="66">
                  <c:v>19906</c:v>
                </c:pt>
                <c:pt idx="67">
                  <c:v>19937</c:v>
                </c:pt>
                <c:pt idx="68">
                  <c:v>19968</c:v>
                </c:pt>
                <c:pt idx="69">
                  <c:v>19998</c:v>
                </c:pt>
                <c:pt idx="70">
                  <c:v>20029</c:v>
                </c:pt>
                <c:pt idx="71">
                  <c:v>20059</c:v>
                </c:pt>
                <c:pt idx="72">
                  <c:v>20090</c:v>
                </c:pt>
                <c:pt idx="73">
                  <c:v>20121</c:v>
                </c:pt>
                <c:pt idx="74">
                  <c:v>20149</c:v>
                </c:pt>
                <c:pt idx="75">
                  <c:v>20180</c:v>
                </c:pt>
                <c:pt idx="76">
                  <c:v>20210</c:v>
                </c:pt>
                <c:pt idx="77">
                  <c:v>20241</c:v>
                </c:pt>
                <c:pt idx="78">
                  <c:v>20271</c:v>
                </c:pt>
                <c:pt idx="79">
                  <c:v>20302</c:v>
                </c:pt>
                <c:pt idx="80">
                  <c:v>20333</c:v>
                </c:pt>
                <c:pt idx="81">
                  <c:v>20363</c:v>
                </c:pt>
                <c:pt idx="82">
                  <c:v>20394</c:v>
                </c:pt>
                <c:pt idx="83">
                  <c:v>20424</c:v>
                </c:pt>
                <c:pt idx="84">
                  <c:v>20455</c:v>
                </c:pt>
                <c:pt idx="85">
                  <c:v>20486</c:v>
                </c:pt>
                <c:pt idx="86">
                  <c:v>20515</c:v>
                </c:pt>
                <c:pt idx="87">
                  <c:v>20546</c:v>
                </c:pt>
                <c:pt idx="88">
                  <c:v>20576</c:v>
                </c:pt>
                <c:pt idx="89">
                  <c:v>20607</c:v>
                </c:pt>
                <c:pt idx="90">
                  <c:v>20637</c:v>
                </c:pt>
                <c:pt idx="91">
                  <c:v>20668</c:v>
                </c:pt>
                <c:pt idx="92">
                  <c:v>20699</c:v>
                </c:pt>
                <c:pt idx="93">
                  <c:v>20729</c:v>
                </c:pt>
                <c:pt idx="94">
                  <c:v>20760</c:v>
                </c:pt>
                <c:pt idx="95">
                  <c:v>20790</c:v>
                </c:pt>
                <c:pt idx="96">
                  <c:v>20821</c:v>
                </c:pt>
                <c:pt idx="97">
                  <c:v>20852</c:v>
                </c:pt>
                <c:pt idx="98">
                  <c:v>20880</c:v>
                </c:pt>
                <c:pt idx="99">
                  <c:v>20911</c:v>
                </c:pt>
                <c:pt idx="100">
                  <c:v>20941</c:v>
                </c:pt>
                <c:pt idx="101">
                  <c:v>20972</c:v>
                </c:pt>
                <c:pt idx="102">
                  <c:v>21002</c:v>
                </c:pt>
                <c:pt idx="103">
                  <c:v>21033</c:v>
                </c:pt>
                <c:pt idx="104">
                  <c:v>21064</c:v>
                </c:pt>
                <c:pt idx="105">
                  <c:v>21094</c:v>
                </c:pt>
                <c:pt idx="106">
                  <c:v>21125</c:v>
                </c:pt>
                <c:pt idx="107">
                  <c:v>21155</c:v>
                </c:pt>
                <c:pt idx="108">
                  <c:v>21186</c:v>
                </c:pt>
                <c:pt idx="109">
                  <c:v>21217</c:v>
                </c:pt>
                <c:pt idx="110">
                  <c:v>21245</c:v>
                </c:pt>
                <c:pt idx="111">
                  <c:v>21276</c:v>
                </c:pt>
                <c:pt idx="112">
                  <c:v>21306</c:v>
                </c:pt>
                <c:pt idx="113">
                  <c:v>21337</c:v>
                </c:pt>
                <c:pt idx="114">
                  <c:v>21367</c:v>
                </c:pt>
                <c:pt idx="115">
                  <c:v>21398</c:v>
                </c:pt>
                <c:pt idx="116">
                  <c:v>21429</c:v>
                </c:pt>
                <c:pt idx="117">
                  <c:v>21459</c:v>
                </c:pt>
                <c:pt idx="118">
                  <c:v>21490</c:v>
                </c:pt>
                <c:pt idx="119">
                  <c:v>21520</c:v>
                </c:pt>
                <c:pt idx="120">
                  <c:v>21551</c:v>
                </c:pt>
                <c:pt idx="121">
                  <c:v>21582</c:v>
                </c:pt>
                <c:pt idx="122">
                  <c:v>21610</c:v>
                </c:pt>
                <c:pt idx="123">
                  <c:v>21641</c:v>
                </c:pt>
                <c:pt idx="124">
                  <c:v>21671</c:v>
                </c:pt>
                <c:pt idx="125">
                  <c:v>21702</c:v>
                </c:pt>
                <c:pt idx="126">
                  <c:v>21732</c:v>
                </c:pt>
                <c:pt idx="127">
                  <c:v>21763</c:v>
                </c:pt>
                <c:pt idx="128">
                  <c:v>21794</c:v>
                </c:pt>
                <c:pt idx="129">
                  <c:v>21824</c:v>
                </c:pt>
                <c:pt idx="130">
                  <c:v>21855</c:v>
                </c:pt>
                <c:pt idx="131">
                  <c:v>21885</c:v>
                </c:pt>
                <c:pt idx="132">
                  <c:v>21916</c:v>
                </c:pt>
                <c:pt idx="133">
                  <c:v>21947</c:v>
                </c:pt>
                <c:pt idx="134">
                  <c:v>21976</c:v>
                </c:pt>
                <c:pt idx="135">
                  <c:v>22007</c:v>
                </c:pt>
                <c:pt idx="136">
                  <c:v>22037</c:v>
                </c:pt>
                <c:pt idx="137">
                  <c:v>22068</c:v>
                </c:pt>
                <c:pt idx="138">
                  <c:v>22098</c:v>
                </c:pt>
                <c:pt idx="139">
                  <c:v>22129</c:v>
                </c:pt>
                <c:pt idx="140">
                  <c:v>22160</c:v>
                </c:pt>
                <c:pt idx="141">
                  <c:v>22190</c:v>
                </c:pt>
                <c:pt idx="142">
                  <c:v>22221</c:v>
                </c:pt>
                <c:pt idx="143">
                  <c:v>22251</c:v>
                </c:pt>
              </c:numCache>
            </c:numRef>
          </c:cat>
          <c:val>
            <c:numRef>
              <c:f>DATOS_MODELO_VAL2!$U$2:$U$145</c:f>
              <c:numCache>
                <c:formatCode>General</c:formatCode>
                <c:ptCount val="144"/>
                <c:pt idx="138">
                  <c:v>459.85716793212555</c:v>
                </c:pt>
                <c:pt idx="139">
                  <c:v>445.7447728014057</c:v>
                </c:pt>
                <c:pt idx="140">
                  <c:v>443.30293988069707</c:v>
                </c:pt>
                <c:pt idx="141">
                  <c:v>445.89422874460149</c:v>
                </c:pt>
                <c:pt idx="142">
                  <c:v>450.85893704227027</c:v>
                </c:pt>
                <c:pt idx="143">
                  <c:v>454.36479799016604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C66-415C-87AE-91312BADF1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76668320"/>
        <c:axId val="376668648"/>
      </c:lineChart>
      <c:dateAx>
        <c:axId val="37666832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6668648"/>
        <c:crosses val="autoZero"/>
        <c:auto val="1"/>
        <c:lblOffset val="100"/>
        <c:baseTimeUnit val="months"/>
      </c:dateAx>
      <c:valAx>
        <c:axId val="376668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66683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198120</xdr:colOff>
      <xdr:row>1</xdr:row>
      <xdr:rowOff>0</xdr:rowOff>
    </xdr:from>
    <xdr:to>
      <xdr:col>32</xdr:col>
      <xdr:colOff>243840</xdr:colOff>
      <xdr:row>19</xdr:row>
      <xdr:rowOff>175260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702E6147-B5F0-43AE-9A20-8E2BF8A1FBE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198120</xdr:colOff>
      <xdr:row>1</xdr:row>
      <xdr:rowOff>0</xdr:rowOff>
    </xdr:from>
    <xdr:to>
      <xdr:col>32</xdr:col>
      <xdr:colOff>243840</xdr:colOff>
      <xdr:row>19</xdr:row>
      <xdr:rowOff>175260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A09BA9D-BA16-4939-BE57-5B74D951396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1A8B3C-EF30-4AED-B0FC-3ED9CD17A2A2}">
  <sheetPr codeName="Sheet1"/>
  <dimension ref="A1:Y145"/>
  <sheetViews>
    <sheetView workbookViewId="0">
      <pane ySplit="1" topLeftCell="A2" activePane="bottomLeft" state="frozen"/>
      <selection pane="bottomLeft"/>
    </sheetView>
  </sheetViews>
  <sheetFormatPr defaultRowHeight="14.4" x14ac:dyDescent="0.3"/>
  <cols>
    <col min="1" max="1" width="10.5546875" bestFit="1" customWidth="1"/>
    <col min="2" max="2" width="10.6640625" bestFit="1" customWidth="1"/>
    <col min="14" max="15" width="12" bestFit="1" customWidth="1"/>
    <col min="18" max="18" width="10.5546875" bestFit="1" customWidth="1"/>
    <col min="21" max="21" width="10" bestFit="1" customWidth="1"/>
  </cols>
  <sheetData>
    <row r="1" spans="1:21" x14ac:dyDescent="0.3">
      <c r="A1" s="1" t="s">
        <v>0</v>
      </c>
      <c r="B1" s="1" t="s">
        <v>1</v>
      </c>
      <c r="D1" s="1" t="s">
        <v>10</v>
      </c>
      <c r="E1" s="1" t="s">
        <v>11</v>
      </c>
      <c r="F1" s="1" t="s">
        <v>12</v>
      </c>
      <c r="G1" s="1" t="s">
        <v>13</v>
      </c>
      <c r="H1" s="1" t="s">
        <v>14</v>
      </c>
      <c r="I1" s="1" t="s">
        <v>15</v>
      </c>
      <c r="J1" s="1" t="s">
        <v>16</v>
      </c>
      <c r="L1" s="1" t="s">
        <v>9</v>
      </c>
      <c r="N1" s="1" t="s">
        <v>18</v>
      </c>
      <c r="O1" s="1" t="s">
        <v>19</v>
      </c>
      <c r="R1" s="1" t="s">
        <v>0</v>
      </c>
      <c r="S1" s="1" t="s">
        <v>22</v>
      </c>
      <c r="T1" s="1" t="s">
        <v>23</v>
      </c>
      <c r="U1" s="7" t="s">
        <v>29</v>
      </c>
    </row>
    <row r="2" spans="1:21" x14ac:dyDescent="0.3">
      <c r="A2" s="2">
        <v>17899</v>
      </c>
      <c r="B2" s="3">
        <v>112</v>
      </c>
      <c r="D2" s="3">
        <v>1</v>
      </c>
      <c r="E2" s="3">
        <v>112</v>
      </c>
      <c r="F2" s="3">
        <v>118</v>
      </c>
      <c r="G2" s="3">
        <v>132</v>
      </c>
      <c r="H2" s="3">
        <v>129</v>
      </c>
      <c r="I2" s="3">
        <v>121</v>
      </c>
      <c r="J2" s="3">
        <v>135</v>
      </c>
      <c r="L2" s="3">
        <v>148</v>
      </c>
      <c r="N2" s="3">
        <f>SUMPRODUCT(D2:J2,$D$144:$J$144)</f>
        <v>143.95819292539682</v>
      </c>
      <c r="O2" s="3">
        <f>SUMPRODUCT(D2:J2,$D$145:$J$145)</f>
        <v>143.95855065666132</v>
      </c>
      <c r="R2" s="2">
        <v>17899</v>
      </c>
      <c r="S2" s="3">
        <v>112</v>
      </c>
      <c r="T2" s="3"/>
      <c r="U2" s="3"/>
    </row>
    <row r="3" spans="1:21" x14ac:dyDescent="0.3">
      <c r="A3" s="2">
        <v>17930</v>
      </c>
      <c r="B3" s="3">
        <v>118</v>
      </c>
      <c r="D3" s="3">
        <v>1</v>
      </c>
      <c r="E3" s="3">
        <v>118</v>
      </c>
      <c r="F3" s="3">
        <v>132</v>
      </c>
      <c r="G3" s="3">
        <v>129</v>
      </c>
      <c r="H3" s="3">
        <v>121</v>
      </c>
      <c r="I3" s="3">
        <v>135</v>
      </c>
      <c r="J3" s="3">
        <v>148</v>
      </c>
      <c r="L3" s="3">
        <v>148</v>
      </c>
      <c r="N3" s="3">
        <f>SUMPRODUCT(D3:J3,$D$144:$J$144)</f>
        <v>157.96680095844332</v>
      </c>
      <c r="O3" s="3">
        <f>SUMPRODUCT(D3:J3,$D$145:$J$145)</f>
        <v>157.9680530330547</v>
      </c>
      <c r="R3" s="2">
        <v>17930</v>
      </c>
      <c r="S3" s="3">
        <v>118</v>
      </c>
      <c r="T3" s="3"/>
      <c r="U3" s="3"/>
    </row>
    <row r="4" spans="1:21" x14ac:dyDescent="0.3">
      <c r="A4" s="2">
        <v>17958</v>
      </c>
      <c r="B4" s="3">
        <v>132</v>
      </c>
      <c r="D4" s="3">
        <v>1</v>
      </c>
      <c r="E4" s="3">
        <v>132</v>
      </c>
      <c r="F4" s="3">
        <v>129</v>
      </c>
      <c r="G4" s="3">
        <v>121</v>
      </c>
      <c r="H4" s="3">
        <v>135</v>
      </c>
      <c r="I4" s="3">
        <v>148</v>
      </c>
      <c r="J4" s="3">
        <v>148</v>
      </c>
      <c r="L4" s="3">
        <v>136</v>
      </c>
      <c r="N4" s="3">
        <f>SUMPRODUCT(D4:J4,$D$144:$J$144)</f>
        <v>152.3157351153078</v>
      </c>
      <c r="O4" s="3">
        <f>SUMPRODUCT(D4:J4,$D$145:$J$145)</f>
        <v>152.31501654018754</v>
      </c>
      <c r="R4" s="2">
        <v>17958</v>
      </c>
      <c r="S4" s="3">
        <v>132</v>
      </c>
      <c r="T4" s="3"/>
      <c r="U4" s="3"/>
    </row>
    <row r="5" spans="1:21" x14ac:dyDescent="0.3">
      <c r="A5" s="2">
        <v>17989</v>
      </c>
      <c r="B5" s="3">
        <v>129</v>
      </c>
      <c r="D5" s="3">
        <v>1</v>
      </c>
      <c r="E5" s="3">
        <v>129</v>
      </c>
      <c r="F5" s="3">
        <v>121</v>
      </c>
      <c r="G5" s="3">
        <v>135</v>
      </c>
      <c r="H5" s="3">
        <v>148</v>
      </c>
      <c r="I5" s="3">
        <v>148</v>
      </c>
      <c r="J5" s="3">
        <v>136</v>
      </c>
      <c r="L5" s="3">
        <v>119</v>
      </c>
      <c r="N5" s="3">
        <f>SUMPRODUCT(D5:J5,$D$144:$J$144)</f>
        <v>133.04302794757629</v>
      </c>
      <c r="O5" s="3">
        <f>SUMPRODUCT(D5:J5,$D$145:$J$145)</f>
        <v>133.04073240287153</v>
      </c>
      <c r="R5" s="2">
        <v>17989</v>
      </c>
      <c r="S5" s="3">
        <v>129</v>
      </c>
      <c r="T5" s="3"/>
      <c r="U5" s="3"/>
    </row>
    <row r="6" spans="1:21" x14ac:dyDescent="0.3">
      <c r="A6" s="2">
        <v>18019</v>
      </c>
      <c r="B6" s="3">
        <v>121</v>
      </c>
      <c r="D6" s="3">
        <v>1</v>
      </c>
      <c r="E6" s="3">
        <v>121</v>
      </c>
      <c r="F6" s="3">
        <v>135</v>
      </c>
      <c r="G6" s="3">
        <v>148</v>
      </c>
      <c r="H6" s="3">
        <v>148</v>
      </c>
      <c r="I6" s="3">
        <v>136</v>
      </c>
      <c r="J6" s="3">
        <v>119</v>
      </c>
      <c r="L6" s="3">
        <v>104</v>
      </c>
      <c r="N6" s="3">
        <f>SUMPRODUCT(D6:J6,$D$144:$J$144)</f>
        <v>120.06281213838002</v>
      </c>
      <c r="O6" s="3">
        <f>SUMPRODUCT(D6:J6,$D$145:$J$145)</f>
        <v>120.06119174011872</v>
      </c>
      <c r="R6" s="2">
        <v>18019</v>
      </c>
      <c r="S6" s="3">
        <v>121</v>
      </c>
      <c r="T6" s="3"/>
      <c r="U6" s="3"/>
    </row>
    <row r="7" spans="1:21" x14ac:dyDescent="0.3">
      <c r="A7" s="2">
        <v>18050</v>
      </c>
      <c r="B7" s="3">
        <v>135</v>
      </c>
      <c r="D7" s="3">
        <v>1</v>
      </c>
      <c r="E7" s="3">
        <v>135</v>
      </c>
      <c r="F7" s="3">
        <v>148</v>
      </c>
      <c r="G7" s="3">
        <v>148</v>
      </c>
      <c r="H7" s="3">
        <v>136</v>
      </c>
      <c r="I7" s="3">
        <v>119</v>
      </c>
      <c r="J7" s="3">
        <v>104</v>
      </c>
      <c r="L7" s="3">
        <v>118</v>
      </c>
      <c r="N7" s="3">
        <f>SUMPRODUCT(D7:J7,$D$144:$J$144)</f>
        <v>111.5553605309221</v>
      </c>
      <c r="O7" s="3">
        <f>SUMPRODUCT(D7:J7,$D$145:$J$145)</f>
        <v>111.55378856567147</v>
      </c>
      <c r="R7" s="2">
        <v>18050</v>
      </c>
      <c r="S7" s="3">
        <v>135</v>
      </c>
      <c r="T7" s="3"/>
      <c r="U7" s="3"/>
    </row>
    <row r="8" spans="1:21" x14ac:dyDescent="0.3">
      <c r="A8" s="2">
        <v>18080</v>
      </c>
      <c r="B8" s="3">
        <v>148</v>
      </c>
      <c r="D8" s="3">
        <v>1</v>
      </c>
      <c r="E8" s="3">
        <v>148</v>
      </c>
      <c r="F8" s="3">
        <v>148</v>
      </c>
      <c r="G8" s="3">
        <v>136</v>
      </c>
      <c r="H8" s="3">
        <v>119</v>
      </c>
      <c r="I8" s="3">
        <v>104</v>
      </c>
      <c r="J8" s="3">
        <v>118</v>
      </c>
      <c r="L8" s="3">
        <v>115</v>
      </c>
      <c r="N8" s="3">
        <f>SUMPRODUCT(D8:J8,$D$144:$J$144)</f>
        <v>136.63504886899537</v>
      </c>
      <c r="O8" s="3">
        <f>SUMPRODUCT(D8:J8,$D$145:$J$145)</f>
        <v>136.63505747494185</v>
      </c>
      <c r="R8" s="2">
        <v>18080</v>
      </c>
      <c r="S8" s="3">
        <v>148</v>
      </c>
      <c r="T8" s="3">
        <f>O2</f>
        <v>143.95855065666132</v>
      </c>
      <c r="U8" s="3"/>
    </row>
    <row r="9" spans="1:21" x14ac:dyDescent="0.3">
      <c r="A9" s="2">
        <v>18111</v>
      </c>
      <c r="B9" s="3">
        <v>148</v>
      </c>
      <c r="D9" s="3">
        <v>1</v>
      </c>
      <c r="E9" s="3">
        <v>148</v>
      </c>
      <c r="F9" s="3">
        <v>136</v>
      </c>
      <c r="G9" s="3">
        <v>119</v>
      </c>
      <c r="H9" s="3">
        <v>104</v>
      </c>
      <c r="I9" s="3">
        <v>118</v>
      </c>
      <c r="J9" s="3">
        <v>115</v>
      </c>
      <c r="L9" s="3">
        <v>126</v>
      </c>
      <c r="N9" s="3">
        <f>SUMPRODUCT(D9:J9,$D$144:$J$144)</f>
        <v>123.59984765377638</v>
      </c>
      <c r="O9" s="3">
        <f>SUMPRODUCT(D9:J9,$D$145:$J$145)</f>
        <v>123.59834961119142</v>
      </c>
      <c r="R9" s="2">
        <v>18111</v>
      </c>
      <c r="S9" s="3">
        <v>148</v>
      </c>
      <c r="T9" s="3">
        <f t="shared" ref="T9:T72" si="0">O3</f>
        <v>157.9680530330547</v>
      </c>
      <c r="U9" s="3"/>
    </row>
    <row r="10" spans="1:21" x14ac:dyDescent="0.3">
      <c r="A10" s="2">
        <v>18142</v>
      </c>
      <c r="B10" s="3">
        <v>136</v>
      </c>
      <c r="D10" s="3">
        <v>1</v>
      </c>
      <c r="E10" s="3">
        <v>136</v>
      </c>
      <c r="F10" s="3">
        <v>119</v>
      </c>
      <c r="G10" s="3">
        <v>104</v>
      </c>
      <c r="H10" s="3">
        <v>118</v>
      </c>
      <c r="I10" s="3">
        <v>115</v>
      </c>
      <c r="J10" s="3">
        <v>126</v>
      </c>
      <c r="L10" s="3">
        <v>141</v>
      </c>
      <c r="N10" s="3">
        <f>SUMPRODUCT(D10:J10,$D$144:$J$144)</f>
        <v>138.13339000117151</v>
      </c>
      <c r="O10" s="3">
        <f>SUMPRODUCT(D10:J10,$D$145:$J$145)</f>
        <v>138.1323907134753</v>
      </c>
      <c r="R10" s="2">
        <v>18142</v>
      </c>
      <c r="S10" s="3">
        <v>136</v>
      </c>
      <c r="T10" s="3">
        <f t="shared" si="0"/>
        <v>152.31501654018754</v>
      </c>
      <c r="U10" s="3"/>
    </row>
    <row r="11" spans="1:21" x14ac:dyDescent="0.3">
      <c r="A11" s="2">
        <v>18172</v>
      </c>
      <c r="B11" s="3">
        <v>119</v>
      </c>
      <c r="D11" s="3">
        <v>1</v>
      </c>
      <c r="E11" s="3">
        <v>119</v>
      </c>
      <c r="F11" s="3">
        <v>104</v>
      </c>
      <c r="G11" s="3">
        <v>118</v>
      </c>
      <c r="H11" s="3">
        <v>115</v>
      </c>
      <c r="I11" s="3">
        <v>126</v>
      </c>
      <c r="J11" s="3">
        <v>141</v>
      </c>
      <c r="L11" s="3">
        <v>135</v>
      </c>
      <c r="N11" s="3">
        <f>SUMPRODUCT(D11:J11,$D$144:$J$144)</f>
        <v>145.27017667105946</v>
      </c>
      <c r="O11" s="3">
        <f>SUMPRODUCT(D11:J11,$D$145:$J$145)</f>
        <v>145.26970187258289</v>
      </c>
      <c r="R11" s="2">
        <v>18172</v>
      </c>
      <c r="S11" s="3">
        <v>119</v>
      </c>
      <c r="T11" s="3">
        <f t="shared" si="0"/>
        <v>133.04073240287153</v>
      </c>
      <c r="U11" s="3"/>
    </row>
    <row r="12" spans="1:21" x14ac:dyDescent="0.3">
      <c r="A12" s="2">
        <v>18203</v>
      </c>
      <c r="B12" s="3">
        <v>104</v>
      </c>
      <c r="D12" s="3">
        <v>1</v>
      </c>
      <c r="E12" s="3">
        <v>104</v>
      </c>
      <c r="F12" s="3">
        <v>118</v>
      </c>
      <c r="G12" s="3">
        <v>115</v>
      </c>
      <c r="H12" s="3">
        <v>126</v>
      </c>
      <c r="I12" s="3">
        <v>141</v>
      </c>
      <c r="J12" s="3">
        <v>135</v>
      </c>
      <c r="L12" s="3">
        <v>125</v>
      </c>
      <c r="N12" s="3">
        <f>SUMPRODUCT(D12:J12,$D$144:$J$144)</f>
        <v>137.49782908233621</v>
      </c>
      <c r="O12" s="3">
        <f>SUMPRODUCT(D12:J12,$D$145:$J$145)</f>
        <v>137.497605685666</v>
      </c>
      <c r="R12" s="2">
        <v>18203</v>
      </c>
      <c r="S12" s="3">
        <v>104</v>
      </c>
      <c r="T12" s="3">
        <f t="shared" si="0"/>
        <v>120.06119174011872</v>
      </c>
      <c r="U12" s="3"/>
    </row>
    <row r="13" spans="1:21" x14ac:dyDescent="0.3">
      <c r="A13" s="2">
        <v>18233</v>
      </c>
      <c r="B13" s="3">
        <v>118</v>
      </c>
      <c r="D13" s="3">
        <v>1</v>
      </c>
      <c r="E13" s="3">
        <v>118</v>
      </c>
      <c r="F13" s="3">
        <v>115</v>
      </c>
      <c r="G13" s="3">
        <v>126</v>
      </c>
      <c r="H13" s="3">
        <v>141</v>
      </c>
      <c r="I13" s="3">
        <v>135</v>
      </c>
      <c r="J13" s="3">
        <v>125</v>
      </c>
      <c r="L13" s="3">
        <v>149</v>
      </c>
      <c r="N13" s="3">
        <f>SUMPRODUCT(D13:J13,$D$144:$J$144)</f>
        <v>124.99431878477731</v>
      </c>
      <c r="O13" s="3">
        <f>SUMPRODUCT(D13:J13,$D$145:$J$145)</f>
        <v>124.9923471106822</v>
      </c>
      <c r="R13" s="2">
        <v>18233</v>
      </c>
      <c r="S13" s="3">
        <v>118</v>
      </c>
      <c r="T13" s="3">
        <f t="shared" si="0"/>
        <v>111.55378856567147</v>
      </c>
      <c r="U13" s="3"/>
    </row>
    <row r="14" spans="1:21" x14ac:dyDescent="0.3">
      <c r="A14" s="2">
        <v>18264</v>
      </c>
      <c r="B14" s="3">
        <v>115</v>
      </c>
      <c r="D14" s="3">
        <v>1</v>
      </c>
      <c r="E14" s="3">
        <v>115</v>
      </c>
      <c r="F14" s="3">
        <v>126</v>
      </c>
      <c r="G14" s="3">
        <v>141</v>
      </c>
      <c r="H14" s="3">
        <v>135</v>
      </c>
      <c r="I14" s="3">
        <v>125</v>
      </c>
      <c r="J14" s="3">
        <v>149</v>
      </c>
      <c r="L14" s="3">
        <v>170</v>
      </c>
      <c r="N14" s="3">
        <f>SUMPRODUCT(D14:J14,$D$144:$J$144)</f>
        <v>161.38405118008956</v>
      </c>
      <c r="O14" s="3">
        <f>SUMPRODUCT(D14:J14,$D$145:$J$145)</f>
        <v>161.38546946224162</v>
      </c>
      <c r="R14" s="2">
        <v>18264</v>
      </c>
      <c r="S14" s="3">
        <v>115</v>
      </c>
      <c r="T14" s="3">
        <f t="shared" si="0"/>
        <v>136.63505747494185</v>
      </c>
      <c r="U14" s="3"/>
    </row>
    <row r="15" spans="1:21" x14ac:dyDescent="0.3">
      <c r="A15" s="2">
        <v>18295</v>
      </c>
      <c r="B15" s="3">
        <v>126</v>
      </c>
      <c r="D15" s="3">
        <v>1</v>
      </c>
      <c r="E15" s="3">
        <v>126</v>
      </c>
      <c r="F15" s="3">
        <v>141</v>
      </c>
      <c r="G15" s="3">
        <v>135</v>
      </c>
      <c r="H15" s="3">
        <v>125</v>
      </c>
      <c r="I15" s="3">
        <v>149</v>
      </c>
      <c r="J15" s="3">
        <v>170</v>
      </c>
      <c r="L15" s="3">
        <v>170</v>
      </c>
      <c r="N15" s="3">
        <f>SUMPRODUCT(D15:J15,$D$144:$J$144)</f>
        <v>181.12858181580484</v>
      </c>
      <c r="O15" s="3">
        <f>SUMPRODUCT(D15:J15,$D$145:$J$145)</f>
        <v>181.13075216743005</v>
      </c>
      <c r="R15" s="2">
        <v>18295</v>
      </c>
      <c r="S15" s="3">
        <v>126</v>
      </c>
      <c r="T15" s="3">
        <f t="shared" si="0"/>
        <v>123.59834961119142</v>
      </c>
      <c r="U15" s="3"/>
    </row>
    <row r="16" spans="1:21" x14ac:dyDescent="0.3">
      <c r="A16" s="2">
        <v>18323</v>
      </c>
      <c r="B16" s="3">
        <v>141</v>
      </c>
      <c r="D16" s="3">
        <v>1</v>
      </c>
      <c r="E16" s="3">
        <v>141</v>
      </c>
      <c r="F16" s="3">
        <v>135</v>
      </c>
      <c r="G16" s="3">
        <v>125</v>
      </c>
      <c r="H16" s="3">
        <v>149</v>
      </c>
      <c r="I16" s="3">
        <v>170</v>
      </c>
      <c r="J16" s="3">
        <v>170</v>
      </c>
      <c r="L16" s="3">
        <v>158</v>
      </c>
      <c r="N16" s="3">
        <f>SUMPRODUCT(D16:J16,$D$144:$J$144)</f>
        <v>171.71684759253802</v>
      </c>
      <c r="O16" s="3">
        <f>SUMPRODUCT(D16:J16,$D$145:$J$145)</f>
        <v>171.71616603230913</v>
      </c>
      <c r="R16" s="2">
        <v>18323</v>
      </c>
      <c r="S16" s="3">
        <v>141</v>
      </c>
      <c r="T16" s="3">
        <f t="shared" si="0"/>
        <v>138.1323907134753</v>
      </c>
      <c r="U16" s="3"/>
    </row>
    <row r="17" spans="1:25" x14ac:dyDescent="0.3">
      <c r="A17" s="2">
        <v>18354</v>
      </c>
      <c r="B17" s="3">
        <v>135</v>
      </c>
      <c r="D17" s="3">
        <v>1</v>
      </c>
      <c r="E17" s="3">
        <v>135</v>
      </c>
      <c r="F17" s="3">
        <v>125</v>
      </c>
      <c r="G17" s="3">
        <v>149</v>
      </c>
      <c r="H17" s="3">
        <v>170</v>
      </c>
      <c r="I17" s="3">
        <v>170</v>
      </c>
      <c r="J17" s="3">
        <v>158</v>
      </c>
      <c r="L17" s="3">
        <v>133</v>
      </c>
      <c r="N17" s="3">
        <f>SUMPRODUCT(D17:J17,$D$144:$J$144)</f>
        <v>150.87633805773476</v>
      </c>
      <c r="O17" s="3">
        <f>SUMPRODUCT(D17:J17,$D$145:$J$145)</f>
        <v>150.87394001120435</v>
      </c>
      <c r="R17" s="2">
        <v>18354</v>
      </c>
      <c r="S17" s="3">
        <v>135</v>
      </c>
      <c r="T17" s="3">
        <f t="shared" si="0"/>
        <v>145.26970187258289</v>
      </c>
      <c r="U17" s="3"/>
    </row>
    <row r="18" spans="1:25" x14ac:dyDescent="0.3">
      <c r="A18" s="2">
        <v>18384</v>
      </c>
      <c r="B18" s="3">
        <v>125</v>
      </c>
      <c r="D18" s="3">
        <v>1</v>
      </c>
      <c r="E18" s="3">
        <v>125</v>
      </c>
      <c r="F18" s="3">
        <v>149</v>
      </c>
      <c r="G18" s="3">
        <v>170</v>
      </c>
      <c r="H18" s="3">
        <v>170</v>
      </c>
      <c r="I18" s="3">
        <v>158</v>
      </c>
      <c r="J18" s="3">
        <v>133</v>
      </c>
      <c r="L18" s="3">
        <v>114</v>
      </c>
      <c r="N18" s="3">
        <f>SUMPRODUCT(D18:J18,$D$144:$J$144)</f>
        <v>129.72724411905261</v>
      </c>
      <c r="O18" s="3">
        <f>SUMPRODUCT(D18:J18,$D$145:$J$145)</f>
        <v>129.72561042646782</v>
      </c>
      <c r="R18" s="2">
        <v>18384</v>
      </c>
      <c r="S18" s="3">
        <v>125</v>
      </c>
      <c r="T18" s="3">
        <f t="shared" si="0"/>
        <v>137.497605685666</v>
      </c>
      <c r="U18" s="3"/>
    </row>
    <row r="19" spans="1:25" x14ac:dyDescent="0.3">
      <c r="A19" s="2">
        <v>18415</v>
      </c>
      <c r="B19" s="3">
        <v>149</v>
      </c>
      <c r="D19" s="3">
        <v>1</v>
      </c>
      <c r="E19" s="3">
        <v>149</v>
      </c>
      <c r="F19" s="3">
        <v>170</v>
      </c>
      <c r="G19" s="3">
        <v>170</v>
      </c>
      <c r="H19" s="3">
        <v>158</v>
      </c>
      <c r="I19" s="3">
        <v>133</v>
      </c>
      <c r="J19" s="3">
        <v>114</v>
      </c>
      <c r="L19" s="3">
        <v>140</v>
      </c>
      <c r="N19" s="3">
        <f>SUMPRODUCT(D19:J19,$D$144:$J$144)</f>
        <v>122.04525068818495</v>
      </c>
      <c r="O19" s="3">
        <f>SUMPRODUCT(D19:J19,$D$145:$J$145)</f>
        <v>122.04375921618262</v>
      </c>
      <c r="R19" s="2">
        <v>18415</v>
      </c>
      <c r="S19" s="3">
        <v>149</v>
      </c>
      <c r="T19" s="3">
        <f t="shared" si="0"/>
        <v>124.9923471106822</v>
      </c>
      <c r="U19" s="3"/>
    </row>
    <row r="20" spans="1:25" x14ac:dyDescent="0.3">
      <c r="A20" s="2">
        <v>18445</v>
      </c>
      <c r="B20" s="3">
        <v>170</v>
      </c>
      <c r="D20" s="3">
        <v>1</v>
      </c>
      <c r="E20" s="3">
        <v>170</v>
      </c>
      <c r="F20" s="3">
        <v>170</v>
      </c>
      <c r="G20" s="3">
        <v>158</v>
      </c>
      <c r="H20" s="3">
        <v>133</v>
      </c>
      <c r="I20" s="3">
        <v>114</v>
      </c>
      <c r="J20" s="3">
        <v>140</v>
      </c>
      <c r="L20" s="3">
        <v>145</v>
      </c>
      <c r="N20" s="3">
        <f>SUMPRODUCT(D20:J20,$D$144:$J$144)</f>
        <v>163.23328709338909</v>
      </c>
      <c r="O20" s="3">
        <f>SUMPRODUCT(D20:J20,$D$145:$J$145)</f>
        <v>163.23422421968689</v>
      </c>
      <c r="R20" s="2">
        <v>18445</v>
      </c>
      <c r="S20" s="3">
        <v>170</v>
      </c>
      <c r="T20" s="3">
        <f t="shared" si="0"/>
        <v>161.38546946224162</v>
      </c>
      <c r="U20" s="3"/>
    </row>
    <row r="21" spans="1:25" x14ac:dyDescent="0.3">
      <c r="A21" s="2">
        <v>18476</v>
      </c>
      <c r="B21" s="3">
        <v>170</v>
      </c>
      <c r="D21" s="3">
        <v>1</v>
      </c>
      <c r="E21" s="3">
        <v>170</v>
      </c>
      <c r="F21" s="3">
        <v>158</v>
      </c>
      <c r="G21" s="3">
        <v>133</v>
      </c>
      <c r="H21" s="3">
        <v>114</v>
      </c>
      <c r="I21" s="3">
        <v>140</v>
      </c>
      <c r="J21" s="3">
        <v>145</v>
      </c>
      <c r="L21" s="3">
        <v>150</v>
      </c>
      <c r="N21" s="3">
        <f>SUMPRODUCT(D21:J21,$D$144:$J$144)</f>
        <v>155.6729621575638</v>
      </c>
      <c r="O21" s="3">
        <f>SUMPRODUCT(D21:J21,$D$145:$J$145)</f>
        <v>155.67241854868948</v>
      </c>
      <c r="R21" s="2">
        <v>18476</v>
      </c>
      <c r="S21" s="3">
        <v>170</v>
      </c>
      <c r="T21" s="3">
        <f t="shared" si="0"/>
        <v>181.13075216743005</v>
      </c>
      <c r="U21" s="3"/>
    </row>
    <row r="22" spans="1:25" x14ac:dyDescent="0.3">
      <c r="A22" s="2">
        <v>18507</v>
      </c>
      <c r="B22" s="3">
        <v>158</v>
      </c>
      <c r="D22" s="3">
        <v>1</v>
      </c>
      <c r="E22" s="3">
        <v>158</v>
      </c>
      <c r="F22" s="3">
        <v>133</v>
      </c>
      <c r="G22" s="3">
        <v>114</v>
      </c>
      <c r="H22" s="3">
        <v>140</v>
      </c>
      <c r="I22" s="3">
        <v>145</v>
      </c>
      <c r="J22" s="3">
        <v>150</v>
      </c>
      <c r="L22" s="3">
        <v>178</v>
      </c>
      <c r="N22" s="3">
        <f>SUMPRODUCT(D22:J22,$D$144:$J$144)</f>
        <v>157.65537447411666</v>
      </c>
      <c r="O22" s="3">
        <f>SUMPRODUCT(D22:J22,$D$145:$J$145)</f>
        <v>157.65368858963987</v>
      </c>
      <c r="R22" s="2">
        <v>18507</v>
      </c>
      <c r="S22" s="3">
        <v>158</v>
      </c>
      <c r="T22" s="3">
        <f t="shared" si="0"/>
        <v>171.71616603230913</v>
      </c>
      <c r="U22" s="3"/>
      <c r="W22" s="1" t="s">
        <v>24</v>
      </c>
      <c r="X22" s="3">
        <f t="array" ref="X22">AVERAGE(S8:S133)</f>
        <v>269.06349206349205</v>
      </c>
      <c r="Y22" s="1" t="s">
        <v>28</v>
      </c>
    </row>
    <row r="23" spans="1:25" x14ac:dyDescent="0.3">
      <c r="A23" s="2">
        <v>18537</v>
      </c>
      <c r="B23" s="3">
        <v>133</v>
      </c>
      <c r="D23" s="3">
        <v>1</v>
      </c>
      <c r="E23" s="3">
        <v>133</v>
      </c>
      <c r="F23" s="3">
        <v>114</v>
      </c>
      <c r="G23" s="3">
        <v>140</v>
      </c>
      <c r="H23" s="3">
        <v>145</v>
      </c>
      <c r="I23" s="3">
        <v>150</v>
      </c>
      <c r="J23" s="3">
        <v>178</v>
      </c>
      <c r="L23" s="3">
        <v>163</v>
      </c>
      <c r="N23" s="3">
        <f>SUMPRODUCT(D23:J23,$D$144:$J$144)</f>
        <v>182.13122889730312</v>
      </c>
      <c r="O23" s="3">
        <f>SUMPRODUCT(D23:J23,$D$145:$J$145)</f>
        <v>182.13146135721604</v>
      </c>
      <c r="R23" s="2">
        <v>18537</v>
      </c>
      <c r="S23" s="3">
        <v>133</v>
      </c>
      <c r="T23" s="3">
        <f t="shared" si="0"/>
        <v>150.87394001120435</v>
      </c>
      <c r="U23" s="3"/>
      <c r="W23" s="1" t="s">
        <v>25</v>
      </c>
      <c r="X23" s="3">
        <f t="array" ref="X23">SUM( ( S8:S133 - $X$22 )^2 )</f>
        <v>1369257.4920634925</v>
      </c>
      <c r="Y23" s="3">
        <f>SUM(Y24:Y25)</f>
        <v>1.0000000000001099</v>
      </c>
    </row>
    <row r="24" spans="1:25" x14ac:dyDescent="0.3">
      <c r="A24" s="2">
        <v>18568</v>
      </c>
      <c r="B24" s="3">
        <v>114</v>
      </c>
      <c r="D24" s="3">
        <v>1</v>
      </c>
      <c r="E24" s="3">
        <v>114</v>
      </c>
      <c r="F24" s="3">
        <v>140</v>
      </c>
      <c r="G24" s="3">
        <v>145</v>
      </c>
      <c r="H24" s="3">
        <v>150</v>
      </c>
      <c r="I24" s="3">
        <v>178</v>
      </c>
      <c r="J24" s="3">
        <v>163</v>
      </c>
      <c r="L24" s="3">
        <v>172</v>
      </c>
      <c r="N24" s="3">
        <f>SUMPRODUCT(D24:J24,$D$144:$J$144)</f>
        <v>158.83467355110088</v>
      </c>
      <c r="O24" s="3">
        <f>SUMPRODUCT(D24:J24,$D$145:$J$145)</f>
        <v>158.83473913271376</v>
      </c>
      <c r="R24" s="2">
        <v>18568</v>
      </c>
      <c r="S24" s="3">
        <v>114</v>
      </c>
      <c r="T24" s="3">
        <f t="shared" si="0"/>
        <v>129.72561042646782</v>
      </c>
      <c r="U24" s="3"/>
      <c r="W24" s="1" t="s">
        <v>27</v>
      </c>
      <c r="X24" s="3">
        <f t="array" ref="X24">SUM( ( S8:S133 - T8:T133)^2 )</f>
        <v>98936.416817533507</v>
      </c>
      <c r="Y24" s="3">
        <f>X24/X23</f>
        <v>7.2255523443172681E-2</v>
      </c>
    </row>
    <row r="25" spans="1:25" x14ac:dyDescent="0.3">
      <c r="A25" s="2">
        <v>18598</v>
      </c>
      <c r="B25" s="3">
        <v>140</v>
      </c>
      <c r="D25" s="3">
        <v>1</v>
      </c>
      <c r="E25" s="3">
        <v>140</v>
      </c>
      <c r="F25" s="3">
        <v>145</v>
      </c>
      <c r="G25" s="3">
        <v>150</v>
      </c>
      <c r="H25" s="3">
        <v>178</v>
      </c>
      <c r="I25" s="3">
        <v>163</v>
      </c>
      <c r="J25" s="3">
        <v>172</v>
      </c>
      <c r="L25" s="3">
        <v>178</v>
      </c>
      <c r="N25" s="3">
        <f>SUMPRODUCT(D25:J25,$D$144:$J$144)</f>
        <v>179.2293755740796</v>
      </c>
      <c r="O25" s="3">
        <f>SUMPRODUCT(D25:J25,$D$145:$J$145)</f>
        <v>179.2293616793512</v>
      </c>
      <c r="R25" s="2">
        <v>18598</v>
      </c>
      <c r="S25" s="3">
        <v>140</v>
      </c>
      <c r="T25" s="3">
        <f t="shared" si="0"/>
        <v>122.04375921618262</v>
      </c>
      <c r="U25" s="3"/>
      <c r="W25" s="1" t="s">
        <v>26</v>
      </c>
      <c r="X25" s="3">
        <f t="array" ref="X25">SUM( (T8:T133 -$X$22)^2 )</f>
        <v>1270321.0752461096</v>
      </c>
      <c r="Y25" s="3">
        <f>X25/X23</f>
        <v>0.92774447655693726</v>
      </c>
    </row>
    <row r="26" spans="1:25" x14ac:dyDescent="0.3">
      <c r="A26" s="2">
        <v>18629</v>
      </c>
      <c r="B26" s="3">
        <v>145</v>
      </c>
      <c r="D26" s="3">
        <v>1</v>
      </c>
      <c r="E26" s="3">
        <v>145</v>
      </c>
      <c r="F26" s="3">
        <v>150</v>
      </c>
      <c r="G26" s="3">
        <v>178</v>
      </c>
      <c r="H26" s="3">
        <v>163</v>
      </c>
      <c r="I26" s="3">
        <v>172</v>
      </c>
      <c r="J26" s="3">
        <v>178</v>
      </c>
      <c r="L26" s="3">
        <v>199</v>
      </c>
      <c r="N26" s="3">
        <f>SUMPRODUCT(D26:J26,$D$144:$J$144)</f>
        <v>177.54519869301015</v>
      </c>
      <c r="O26" s="3">
        <f>SUMPRODUCT(D26:J26,$D$145:$J$145)</f>
        <v>177.5452482903797</v>
      </c>
      <c r="R26" s="2">
        <v>18629</v>
      </c>
      <c r="S26" s="3">
        <v>145</v>
      </c>
      <c r="T26" s="3">
        <f t="shared" si="0"/>
        <v>163.23422421968689</v>
      </c>
      <c r="U26" s="3"/>
    </row>
    <row r="27" spans="1:25" x14ac:dyDescent="0.3">
      <c r="A27" s="2">
        <v>18660</v>
      </c>
      <c r="B27" s="3">
        <v>150</v>
      </c>
      <c r="D27" s="3">
        <v>1</v>
      </c>
      <c r="E27" s="3">
        <v>150</v>
      </c>
      <c r="F27" s="3">
        <v>178</v>
      </c>
      <c r="G27" s="3">
        <v>163</v>
      </c>
      <c r="H27" s="3">
        <v>172</v>
      </c>
      <c r="I27" s="3">
        <v>178</v>
      </c>
      <c r="J27" s="3">
        <v>199</v>
      </c>
      <c r="L27" s="3">
        <v>199</v>
      </c>
      <c r="N27" s="3">
        <f>SUMPRODUCT(D27:J27,$D$144:$J$144)</f>
        <v>214.18912139989763</v>
      </c>
      <c r="O27" s="3">
        <f>SUMPRODUCT(D27:J27,$D$145:$J$145)</f>
        <v>214.19192117930123</v>
      </c>
      <c r="R27" s="2">
        <v>18660</v>
      </c>
      <c r="S27" s="3">
        <v>150</v>
      </c>
      <c r="T27" s="3">
        <f t="shared" si="0"/>
        <v>155.67241854868948</v>
      </c>
      <c r="U27" s="3"/>
    </row>
    <row r="28" spans="1:25" x14ac:dyDescent="0.3">
      <c r="A28" s="2">
        <v>18688</v>
      </c>
      <c r="B28" s="3">
        <v>178</v>
      </c>
      <c r="D28" s="3">
        <v>1</v>
      </c>
      <c r="E28" s="3">
        <v>178</v>
      </c>
      <c r="F28" s="3">
        <v>163</v>
      </c>
      <c r="G28" s="3">
        <v>172</v>
      </c>
      <c r="H28" s="3">
        <v>178</v>
      </c>
      <c r="I28" s="3">
        <v>199</v>
      </c>
      <c r="J28" s="3">
        <v>199</v>
      </c>
      <c r="L28" s="3">
        <v>184</v>
      </c>
      <c r="N28" s="3">
        <f>SUMPRODUCT(D28:J28,$D$144:$J$144)</f>
        <v>195.86382164471394</v>
      </c>
      <c r="O28" s="3">
        <f>SUMPRODUCT(D28:J28,$D$145:$J$145)</f>
        <v>195.86262123070429</v>
      </c>
      <c r="R28" s="2">
        <v>18688</v>
      </c>
      <c r="S28" s="3">
        <v>178</v>
      </c>
      <c r="T28" s="3">
        <f t="shared" si="0"/>
        <v>157.65368858963987</v>
      </c>
      <c r="U28" s="3"/>
    </row>
    <row r="29" spans="1:25" x14ac:dyDescent="0.3">
      <c r="A29" s="2">
        <v>18719</v>
      </c>
      <c r="B29" s="3">
        <v>163</v>
      </c>
      <c r="D29" s="3">
        <v>1</v>
      </c>
      <c r="E29" s="3">
        <v>163</v>
      </c>
      <c r="F29" s="3">
        <v>172</v>
      </c>
      <c r="G29" s="3">
        <v>178</v>
      </c>
      <c r="H29" s="3">
        <v>199</v>
      </c>
      <c r="I29" s="3">
        <v>199</v>
      </c>
      <c r="J29" s="3">
        <v>184</v>
      </c>
      <c r="L29" s="3">
        <v>162</v>
      </c>
      <c r="N29" s="3">
        <f>SUMPRODUCT(D29:J29,$D$144:$J$144)</f>
        <v>181.45277257419281</v>
      </c>
      <c r="O29" s="3">
        <f>SUMPRODUCT(D29:J29,$D$145:$J$145)</f>
        <v>181.45147019914393</v>
      </c>
      <c r="R29" s="2">
        <v>18719</v>
      </c>
      <c r="S29" s="3">
        <v>163</v>
      </c>
      <c r="T29" s="3">
        <f t="shared" si="0"/>
        <v>182.13146135721604</v>
      </c>
      <c r="U29" s="3"/>
    </row>
    <row r="30" spans="1:25" x14ac:dyDescent="0.3">
      <c r="A30" s="2">
        <v>18749</v>
      </c>
      <c r="B30" s="3">
        <v>172</v>
      </c>
      <c r="D30" s="3">
        <v>1</v>
      </c>
      <c r="E30" s="3">
        <v>172</v>
      </c>
      <c r="F30" s="3">
        <v>178</v>
      </c>
      <c r="G30" s="3">
        <v>199</v>
      </c>
      <c r="H30" s="3">
        <v>199</v>
      </c>
      <c r="I30" s="3">
        <v>184</v>
      </c>
      <c r="J30" s="3">
        <v>162</v>
      </c>
      <c r="L30" s="3">
        <v>146</v>
      </c>
      <c r="N30" s="3">
        <f>SUMPRODUCT(D30:J30,$D$144:$J$144)</f>
        <v>158.23775458631681</v>
      </c>
      <c r="O30" s="3">
        <f>SUMPRODUCT(D30:J30,$D$145:$J$145)</f>
        <v>158.23535877348792</v>
      </c>
      <c r="R30" s="2">
        <v>18749</v>
      </c>
      <c r="S30" s="3">
        <v>172</v>
      </c>
      <c r="T30" s="3">
        <f t="shared" si="0"/>
        <v>158.83473913271376</v>
      </c>
      <c r="U30" s="3"/>
    </row>
    <row r="31" spans="1:25" x14ac:dyDescent="0.3">
      <c r="A31" s="2">
        <v>18780</v>
      </c>
      <c r="B31" s="3">
        <v>178</v>
      </c>
      <c r="D31" s="3">
        <v>1</v>
      </c>
      <c r="E31" s="3">
        <v>178</v>
      </c>
      <c r="F31" s="3">
        <v>199</v>
      </c>
      <c r="G31" s="3">
        <v>199</v>
      </c>
      <c r="H31" s="3">
        <v>184</v>
      </c>
      <c r="I31" s="3">
        <v>162</v>
      </c>
      <c r="J31" s="3">
        <v>146</v>
      </c>
      <c r="L31" s="3">
        <v>166</v>
      </c>
      <c r="N31" s="3">
        <f>SUMPRODUCT(D31:J31,$D$144:$J$144)</f>
        <v>153.88037799702454</v>
      </c>
      <c r="O31" s="3">
        <f>SUMPRODUCT(D31:J31,$D$145:$J$145)</f>
        <v>153.87928248766133</v>
      </c>
      <c r="R31" s="2">
        <v>18780</v>
      </c>
      <c r="S31" s="3">
        <v>178</v>
      </c>
      <c r="T31" s="3">
        <f t="shared" si="0"/>
        <v>179.2293616793512</v>
      </c>
      <c r="U31" s="3"/>
    </row>
    <row r="32" spans="1:25" x14ac:dyDescent="0.3">
      <c r="A32" s="2">
        <v>18810</v>
      </c>
      <c r="B32" s="3">
        <v>199</v>
      </c>
      <c r="D32" s="3">
        <v>1</v>
      </c>
      <c r="E32" s="3">
        <v>199</v>
      </c>
      <c r="F32" s="3">
        <v>199</v>
      </c>
      <c r="G32" s="3">
        <v>184</v>
      </c>
      <c r="H32" s="3">
        <v>162</v>
      </c>
      <c r="I32" s="3">
        <v>146</v>
      </c>
      <c r="J32" s="3">
        <v>166</v>
      </c>
      <c r="L32" s="3">
        <v>171</v>
      </c>
      <c r="N32" s="3">
        <f>SUMPRODUCT(D32:J32,$D$144:$J$144)</f>
        <v>186.70692054192972</v>
      </c>
      <c r="O32" s="3">
        <f>SUMPRODUCT(D32:J32,$D$145:$J$145)</f>
        <v>186.70756928293153</v>
      </c>
      <c r="R32" s="2">
        <v>18810</v>
      </c>
      <c r="S32" s="3">
        <v>199</v>
      </c>
      <c r="T32" s="3">
        <f t="shared" si="0"/>
        <v>177.5452482903797</v>
      </c>
      <c r="U32" s="3"/>
    </row>
    <row r="33" spans="1:21" x14ac:dyDescent="0.3">
      <c r="A33" s="2">
        <v>18841</v>
      </c>
      <c r="B33" s="3">
        <v>199</v>
      </c>
      <c r="D33" s="3">
        <v>1</v>
      </c>
      <c r="E33" s="3">
        <v>199</v>
      </c>
      <c r="F33" s="3">
        <v>184</v>
      </c>
      <c r="G33" s="3">
        <v>162</v>
      </c>
      <c r="H33" s="3">
        <v>146</v>
      </c>
      <c r="I33" s="3">
        <v>166</v>
      </c>
      <c r="J33" s="3">
        <v>171</v>
      </c>
      <c r="L33" s="3">
        <v>180</v>
      </c>
      <c r="N33" s="3">
        <f>SUMPRODUCT(D33:J33,$D$144:$J$144)</f>
        <v>180.78902795589789</v>
      </c>
      <c r="O33" s="3">
        <f>SUMPRODUCT(D33:J33,$D$145:$J$145)</f>
        <v>180.78829341143279</v>
      </c>
      <c r="R33" s="2">
        <v>18841</v>
      </c>
      <c r="S33" s="3">
        <v>199</v>
      </c>
      <c r="T33" s="3">
        <f t="shared" si="0"/>
        <v>214.19192117930123</v>
      </c>
      <c r="U33" s="3"/>
    </row>
    <row r="34" spans="1:21" x14ac:dyDescent="0.3">
      <c r="A34" s="2">
        <v>18872</v>
      </c>
      <c r="B34" s="3">
        <v>184</v>
      </c>
      <c r="D34" s="3">
        <v>1</v>
      </c>
      <c r="E34" s="3">
        <v>184</v>
      </c>
      <c r="F34" s="3">
        <v>162</v>
      </c>
      <c r="G34" s="3">
        <v>146</v>
      </c>
      <c r="H34" s="3">
        <v>166</v>
      </c>
      <c r="I34" s="3">
        <v>171</v>
      </c>
      <c r="J34" s="3">
        <v>180</v>
      </c>
      <c r="L34" s="3">
        <v>193</v>
      </c>
      <c r="N34" s="3">
        <f>SUMPRODUCT(D34:J34,$D$144:$J$144)</f>
        <v>188.05589032495146</v>
      </c>
      <c r="O34" s="3">
        <f>SUMPRODUCT(D34:J34,$D$145:$J$145)</f>
        <v>188.05478004666776</v>
      </c>
      <c r="R34" s="2">
        <v>18872</v>
      </c>
      <c r="S34" s="3">
        <v>184</v>
      </c>
      <c r="T34" s="3">
        <f t="shared" si="0"/>
        <v>195.86262123070429</v>
      </c>
      <c r="U34" s="3"/>
    </row>
    <row r="35" spans="1:21" x14ac:dyDescent="0.3">
      <c r="A35" s="2">
        <v>18902</v>
      </c>
      <c r="B35" s="3">
        <v>162</v>
      </c>
      <c r="D35" s="3">
        <v>1</v>
      </c>
      <c r="E35" s="3">
        <v>162</v>
      </c>
      <c r="F35" s="3">
        <v>146</v>
      </c>
      <c r="G35" s="3">
        <v>166</v>
      </c>
      <c r="H35" s="3">
        <v>171</v>
      </c>
      <c r="I35" s="3">
        <v>180</v>
      </c>
      <c r="J35" s="3">
        <v>193</v>
      </c>
      <c r="L35" s="3">
        <v>181</v>
      </c>
      <c r="N35" s="3">
        <f>SUMPRODUCT(D35:J35,$D$144:$J$144)</f>
        <v>193.22859336800923</v>
      </c>
      <c r="O35" s="3">
        <f>SUMPRODUCT(D35:J35,$D$145:$J$145)</f>
        <v>193.22803239855477</v>
      </c>
      <c r="R35" s="2">
        <v>18902</v>
      </c>
      <c r="S35" s="3">
        <v>162</v>
      </c>
      <c r="T35" s="3">
        <f t="shared" si="0"/>
        <v>181.45147019914393</v>
      </c>
      <c r="U35" s="3"/>
    </row>
    <row r="36" spans="1:21" x14ac:dyDescent="0.3">
      <c r="A36" s="2">
        <v>18933</v>
      </c>
      <c r="B36" s="3">
        <v>146</v>
      </c>
      <c r="D36" s="3">
        <v>1</v>
      </c>
      <c r="E36" s="3">
        <v>146</v>
      </c>
      <c r="F36" s="3">
        <v>166</v>
      </c>
      <c r="G36" s="3">
        <v>171</v>
      </c>
      <c r="H36" s="3">
        <v>180</v>
      </c>
      <c r="I36" s="3">
        <v>193</v>
      </c>
      <c r="J36" s="3">
        <v>181</v>
      </c>
      <c r="L36" s="3">
        <v>183</v>
      </c>
      <c r="N36" s="3">
        <f>SUMPRODUCT(D36:J36,$D$144:$J$144)</f>
        <v>179.23106882688563</v>
      </c>
      <c r="O36" s="3">
        <f>SUMPRODUCT(D36:J36,$D$145:$J$145)</f>
        <v>179.23084093484724</v>
      </c>
      <c r="R36" s="2">
        <v>18933</v>
      </c>
      <c r="S36" s="3">
        <v>146</v>
      </c>
      <c r="T36" s="3">
        <f t="shared" si="0"/>
        <v>158.23535877348792</v>
      </c>
      <c r="U36" s="3"/>
    </row>
    <row r="37" spans="1:21" x14ac:dyDescent="0.3">
      <c r="A37" s="2">
        <v>18963</v>
      </c>
      <c r="B37" s="3">
        <v>166</v>
      </c>
      <c r="D37" s="3">
        <v>1</v>
      </c>
      <c r="E37" s="3">
        <v>166</v>
      </c>
      <c r="F37" s="3">
        <v>171</v>
      </c>
      <c r="G37" s="3">
        <v>180</v>
      </c>
      <c r="H37" s="3">
        <v>193</v>
      </c>
      <c r="I37" s="3">
        <v>181</v>
      </c>
      <c r="J37" s="3">
        <v>183</v>
      </c>
      <c r="L37" s="3">
        <v>218</v>
      </c>
      <c r="N37" s="3">
        <f>SUMPRODUCT(D37:J37,$D$144:$J$144)</f>
        <v>187.54789978453695</v>
      </c>
      <c r="O37" s="3">
        <f>SUMPRODUCT(D37:J37,$D$145:$J$145)</f>
        <v>187.54743686364333</v>
      </c>
      <c r="R37" s="2">
        <v>18963</v>
      </c>
      <c r="S37" s="3">
        <v>166</v>
      </c>
      <c r="T37" s="3">
        <f t="shared" si="0"/>
        <v>153.87928248766133</v>
      </c>
      <c r="U37" s="3"/>
    </row>
    <row r="38" spans="1:21" x14ac:dyDescent="0.3">
      <c r="A38" s="2">
        <v>18994</v>
      </c>
      <c r="B38" s="3">
        <v>171</v>
      </c>
      <c r="D38" s="3">
        <v>1</v>
      </c>
      <c r="E38" s="3">
        <v>171</v>
      </c>
      <c r="F38" s="3">
        <v>180</v>
      </c>
      <c r="G38" s="3">
        <v>193</v>
      </c>
      <c r="H38" s="3">
        <v>181</v>
      </c>
      <c r="I38" s="3">
        <v>183</v>
      </c>
      <c r="J38" s="3">
        <v>218</v>
      </c>
      <c r="L38" s="3">
        <v>230</v>
      </c>
      <c r="N38" s="3">
        <f>SUMPRODUCT(D38:J38,$D$144:$J$144)</f>
        <v>230.79351069757618</v>
      </c>
      <c r="O38" s="3">
        <f>SUMPRODUCT(D38:J38,$D$145:$J$145)</f>
        <v>230.79610415086515</v>
      </c>
      <c r="R38" s="2">
        <v>18994</v>
      </c>
      <c r="S38" s="3">
        <v>171</v>
      </c>
      <c r="T38" s="3">
        <f t="shared" si="0"/>
        <v>186.70756928293153</v>
      </c>
      <c r="U38" s="3"/>
    </row>
    <row r="39" spans="1:21" x14ac:dyDescent="0.3">
      <c r="A39" s="2">
        <v>19025</v>
      </c>
      <c r="B39" s="3">
        <v>180</v>
      </c>
      <c r="D39" s="3">
        <v>1</v>
      </c>
      <c r="E39" s="3">
        <v>180</v>
      </c>
      <c r="F39" s="3">
        <v>193</v>
      </c>
      <c r="G39" s="3">
        <v>181</v>
      </c>
      <c r="H39" s="3">
        <v>183</v>
      </c>
      <c r="I39" s="3">
        <v>218</v>
      </c>
      <c r="J39" s="3">
        <v>230</v>
      </c>
      <c r="L39" s="3">
        <v>242</v>
      </c>
      <c r="N39" s="3">
        <f>SUMPRODUCT(D39:J39,$D$144:$J$144)</f>
        <v>235.20005287622138</v>
      </c>
      <c r="O39" s="3">
        <f>SUMPRODUCT(D39:J39,$D$145:$J$145)</f>
        <v>235.20185789390104</v>
      </c>
      <c r="R39" s="2">
        <v>19025</v>
      </c>
      <c r="S39" s="3">
        <v>180</v>
      </c>
      <c r="T39" s="3">
        <f t="shared" si="0"/>
        <v>180.78829341143279</v>
      </c>
      <c r="U39" s="3"/>
    </row>
    <row r="40" spans="1:21" x14ac:dyDescent="0.3">
      <c r="A40" s="2">
        <v>19054</v>
      </c>
      <c r="B40" s="3">
        <v>193</v>
      </c>
      <c r="D40" s="3">
        <v>1</v>
      </c>
      <c r="E40" s="3">
        <v>193</v>
      </c>
      <c r="F40" s="3">
        <v>181</v>
      </c>
      <c r="G40" s="3">
        <v>183</v>
      </c>
      <c r="H40" s="3">
        <v>218</v>
      </c>
      <c r="I40" s="3">
        <v>230</v>
      </c>
      <c r="J40" s="3">
        <v>242</v>
      </c>
      <c r="L40" s="3">
        <v>209</v>
      </c>
      <c r="N40" s="3">
        <f>SUMPRODUCT(D40:J40,$D$144:$J$144)</f>
        <v>242.49457596531502</v>
      </c>
      <c r="O40" s="3">
        <f>SUMPRODUCT(D40:J40,$D$145:$J$145)</f>
        <v>242.49449375356062</v>
      </c>
      <c r="R40" s="2">
        <v>19054</v>
      </c>
      <c r="S40" s="3">
        <v>193</v>
      </c>
      <c r="T40" s="3">
        <f t="shared" si="0"/>
        <v>188.05478004666776</v>
      </c>
      <c r="U40" s="3"/>
    </row>
    <row r="41" spans="1:21" x14ac:dyDescent="0.3">
      <c r="A41" s="2">
        <v>19085</v>
      </c>
      <c r="B41" s="3">
        <v>181</v>
      </c>
      <c r="D41" s="3">
        <v>1</v>
      </c>
      <c r="E41" s="3">
        <v>181</v>
      </c>
      <c r="F41" s="3">
        <v>183</v>
      </c>
      <c r="G41" s="3">
        <v>218</v>
      </c>
      <c r="H41" s="3">
        <v>230</v>
      </c>
      <c r="I41" s="3">
        <v>242</v>
      </c>
      <c r="J41" s="3">
        <v>209</v>
      </c>
      <c r="L41" s="3">
        <v>191</v>
      </c>
      <c r="N41" s="3">
        <f>SUMPRODUCT(D41:J41,$D$144:$J$144)</f>
        <v>190.56034594857965</v>
      </c>
      <c r="O41" s="3">
        <f>SUMPRODUCT(D41:J41,$D$145:$J$145)</f>
        <v>190.55739222104756</v>
      </c>
      <c r="R41" s="2">
        <v>19085</v>
      </c>
      <c r="S41" s="3">
        <v>181</v>
      </c>
      <c r="T41" s="3">
        <f t="shared" si="0"/>
        <v>193.22803239855477</v>
      </c>
      <c r="U41" s="3"/>
    </row>
    <row r="42" spans="1:21" x14ac:dyDescent="0.3">
      <c r="A42" s="2">
        <v>19115</v>
      </c>
      <c r="B42" s="3">
        <v>183</v>
      </c>
      <c r="D42" s="3">
        <v>1</v>
      </c>
      <c r="E42" s="3">
        <v>183</v>
      </c>
      <c r="F42" s="3">
        <v>218</v>
      </c>
      <c r="G42" s="3">
        <v>230</v>
      </c>
      <c r="H42" s="3">
        <v>242</v>
      </c>
      <c r="I42" s="3">
        <v>209</v>
      </c>
      <c r="J42" s="3">
        <v>191</v>
      </c>
      <c r="L42" s="3">
        <v>172</v>
      </c>
      <c r="N42" s="3">
        <f>SUMPRODUCT(D42:J42,$D$144:$J$144)</f>
        <v>194.25529264073316</v>
      </c>
      <c r="O42" s="3">
        <f>SUMPRODUCT(D42:J42,$D$145:$J$145)</f>
        <v>194.2547663350191</v>
      </c>
      <c r="R42" s="2">
        <v>19115</v>
      </c>
      <c r="S42" s="3">
        <v>183</v>
      </c>
      <c r="T42" s="3">
        <f t="shared" si="0"/>
        <v>179.23084093484724</v>
      </c>
      <c r="U42" s="3"/>
    </row>
    <row r="43" spans="1:21" x14ac:dyDescent="0.3">
      <c r="A43" s="2">
        <v>19146</v>
      </c>
      <c r="B43" s="3">
        <v>218</v>
      </c>
      <c r="D43" s="3">
        <v>1</v>
      </c>
      <c r="E43" s="3">
        <v>218</v>
      </c>
      <c r="F43" s="3">
        <v>230</v>
      </c>
      <c r="G43" s="3">
        <v>242</v>
      </c>
      <c r="H43" s="3">
        <v>209</v>
      </c>
      <c r="I43" s="3">
        <v>191</v>
      </c>
      <c r="J43" s="3">
        <v>172</v>
      </c>
      <c r="L43" s="3">
        <v>194</v>
      </c>
      <c r="N43" s="3">
        <f>SUMPRODUCT(D43:J43,$D$144:$J$144)</f>
        <v>175.36194989407667</v>
      </c>
      <c r="O43" s="3">
        <f>SUMPRODUCT(D43:J43,$D$145:$J$145)</f>
        <v>175.36020510201263</v>
      </c>
      <c r="R43" s="2">
        <v>19146</v>
      </c>
      <c r="S43" s="3">
        <v>218</v>
      </c>
      <c r="T43" s="3">
        <f t="shared" si="0"/>
        <v>187.54743686364333</v>
      </c>
      <c r="U43" s="3"/>
    </row>
    <row r="44" spans="1:21" x14ac:dyDescent="0.3">
      <c r="A44" s="2">
        <v>19176</v>
      </c>
      <c r="B44" s="3">
        <v>230</v>
      </c>
      <c r="D44" s="3">
        <v>1</v>
      </c>
      <c r="E44" s="3">
        <v>230</v>
      </c>
      <c r="F44" s="3">
        <v>242</v>
      </c>
      <c r="G44" s="3">
        <v>209</v>
      </c>
      <c r="H44" s="3">
        <v>191</v>
      </c>
      <c r="I44" s="3">
        <v>172</v>
      </c>
      <c r="J44" s="3">
        <v>194</v>
      </c>
      <c r="L44" s="3">
        <v>196</v>
      </c>
      <c r="N44" s="3">
        <f>SUMPRODUCT(D44:J44,$D$144:$J$144)</f>
        <v>220.4749568010501</v>
      </c>
      <c r="O44" s="3">
        <f>SUMPRODUCT(D44:J44,$D$145:$J$145)</f>
        <v>220.47662524777735</v>
      </c>
      <c r="R44" s="2">
        <v>19176</v>
      </c>
      <c r="S44" s="3">
        <v>230</v>
      </c>
      <c r="T44" s="3">
        <f t="shared" si="0"/>
        <v>230.79610415086515</v>
      </c>
      <c r="U44" s="3"/>
    </row>
    <row r="45" spans="1:21" x14ac:dyDescent="0.3">
      <c r="A45" s="2">
        <v>19207</v>
      </c>
      <c r="B45" s="3">
        <v>242</v>
      </c>
      <c r="D45" s="3">
        <v>1</v>
      </c>
      <c r="E45" s="3">
        <v>242</v>
      </c>
      <c r="F45" s="3">
        <v>209</v>
      </c>
      <c r="G45" s="3">
        <v>191</v>
      </c>
      <c r="H45" s="3">
        <v>172</v>
      </c>
      <c r="I45" s="3">
        <v>194</v>
      </c>
      <c r="J45" s="3">
        <v>196</v>
      </c>
      <c r="L45" s="3">
        <v>196</v>
      </c>
      <c r="N45" s="3">
        <f>SUMPRODUCT(D45:J45,$D$144:$J$144)</f>
        <v>201.83877045964351</v>
      </c>
      <c r="O45" s="3">
        <f>SUMPRODUCT(D45:J45,$D$145:$J$145)</f>
        <v>201.83686370304372</v>
      </c>
      <c r="R45" s="2">
        <v>19207</v>
      </c>
      <c r="S45" s="3">
        <v>242</v>
      </c>
      <c r="T45" s="3">
        <f t="shared" si="0"/>
        <v>235.20185789390104</v>
      </c>
      <c r="U45" s="3"/>
    </row>
    <row r="46" spans="1:21" x14ac:dyDescent="0.3">
      <c r="A46" s="2">
        <v>19238</v>
      </c>
      <c r="B46" s="3">
        <v>209</v>
      </c>
      <c r="D46" s="3">
        <v>1</v>
      </c>
      <c r="E46" s="3">
        <v>209</v>
      </c>
      <c r="F46" s="3">
        <v>191</v>
      </c>
      <c r="G46" s="3">
        <v>172</v>
      </c>
      <c r="H46" s="3">
        <v>194</v>
      </c>
      <c r="I46" s="3">
        <v>196</v>
      </c>
      <c r="J46" s="3">
        <v>196</v>
      </c>
      <c r="L46" s="3">
        <v>236</v>
      </c>
      <c r="N46" s="3">
        <f>SUMPRODUCT(D46:J46,$D$144:$J$144)</f>
        <v>202.30769223006661</v>
      </c>
      <c r="O46" s="3">
        <f>SUMPRODUCT(D46:J46,$D$145:$J$145)</f>
        <v>202.30617148772598</v>
      </c>
      <c r="R46" s="2">
        <v>19238</v>
      </c>
      <c r="S46" s="3">
        <v>209</v>
      </c>
      <c r="T46" s="3">
        <f t="shared" si="0"/>
        <v>242.49449375356062</v>
      </c>
      <c r="U46" s="3"/>
    </row>
    <row r="47" spans="1:21" x14ac:dyDescent="0.3">
      <c r="A47" s="2">
        <v>19268</v>
      </c>
      <c r="B47" s="3">
        <v>191</v>
      </c>
      <c r="D47" s="3">
        <v>1</v>
      </c>
      <c r="E47" s="3">
        <v>191</v>
      </c>
      <c r="F47" s="3">
        <v>172</v>
      </c>
      <c r="G47" s="3">
        <v>194</v>
      </c>
      <c r="H47" s="3">
        <v>196</v>
      </c>
      <c r="I47" s="3">
        <v>196</v>
      </c>
      <c r="J47" s="3">
        <v>236</v>
      </c>
      <c r="L47" s="3">
        <v>235</v>
      </c>
      <c r="N47" s="3">
        <f>SUMPRODUCT(D47:J47,$D$144:$J$144)</f>
        <v>244.60456707139943</v>
      </c>
      <c r="O47" s="3">
        <f>SUMPRODUCT(D47:J47,$D$145:$J$145)</f>
        <v>244.60587018994622</v>
      </c>
      <c r="R47" s="2">
        <v>19268</v>
      </c>
      <c r="S47" s="3">
        <v>191</v>
      </c>
      <c r="T47" s="3">
        <f t="shared" si="0"/>
        <v>190.55739222104756</v>
      </c>
      <c r="U47" s="3"/>
    </row>
    <row r="48" spans="1:21" x14ac:dyDescent="0.3">
      <c r="A48" s="2">
        <v>19299</v>
      </c>
      <c r="B48" s="3">
        <v>172</v>
      </c>
      <c r="D48" s="3">
        <v>1</v>
      </c>
      <c r="E48" s="3">
        <v>172</v>
      </c>
      <c r="F48" s="3">
        <v>194</v>
      </c>
      <c r="G48" s="3">
        <v>196</v>
      </c>
      <c r="H48" s="3">
        <v>196</v>
      </c>
      <c r="I48" s="3">
        <v>236</v>
      </c>
      <c r="J48" s="3">
        <v>235</v>
      </c>
      <c r="L48" s="3">
        <v>229</v>
      </c>
      <c r="N48" s="3">
        <f>SUMPRODUCT(D48:J48,$D$144:$J$144)</f>
        <v>232.13710926051309</v>
      </c>
      <c r="O48" s="3">
        <f>SUMPRODUCT(D48:J48,$D$145:$J$145)</f>
        <v>232.13847515769783</v>
      </c>
      <c r="R48" s="2">
        <v>19299</v>
      </c>
      <c r="S48" s="3">
        <v>172</v>
      </c>
      <c r="T48" s="3">
        <f t="shared" si="0"/>
        <v>194.2547663350191</v>
      </c>
      <c r="U48" s="3"/>
    </row>
    <row r="49" spans="1:21" x14ac:dyDescent="0.3">
      <c r="A49" s="2">
        <v>19329</v>
      </c>
      <c r="B49" s="3">
        <v>194</v>
      </c>
      <c r="D49" s="3">
        <v>1</v>
      </c>
      <c r="E49" s="3">
        <v>194</v>
      </c>
      <c r="F49" s="3">
        <v>196</v>
      </c>
      <c r="G49" s="3">
        <v>196</v>
      </c>
      <c r="H49" s="3">
        <v>236</v>
      </c>
      <c r="I49" s="3">
        <v>235</v>
      </c>
      <c r="J49" s="3">
        <v>229</v>
      </c>
      <c r="L49" s="3">
        <v>243</v>
      </c>
      <c r="N49" s="3">
        <f>SUMPRODUCT(D49:J49,$D$144:$J$144)</f>
        <v>227.64645694839243</v>
      </c>
      <c r="O49" s="3">
        <f>SUMPRODUCT(D49:J49,$D$145:$J$145)</f>
        <v>227.64559818406534</v>
      </c>
      <c r="R49" s="2">
        <v>19329</v>
      </c>
      <c r="S49" s="3">
        <v>194</v>
      </c>
      <c r="T49" s="3">
        <f t="shared" si="0"/>
        <v>175.36020510201263</v>
      </c>
      <c r="U49" s="3"/>
    </row>
    <row r="50" spans="1:21" x14ac:dyDescent="0.3">
      <c r="A50" s="2">
        <v>19360</v>
      </c>
      <c r="B50" s="3">
        <v>196</v>
      </c>
      <c r="D50" s="3">
        <v>1</v>
      </c>
      <c r="E50" s="3">
        <v>196</v>
      </c>
      <c r="F50" s="3">
        <v>196</v>
      </c>
      <c r="G50" s="3">
        <v>236</v>
      </c>
      <c r="H50" s="3">
        <v>235</v>
      </c>
      <c r="I50" s="3">
        <v>229</v>
      </c>
      <c r="J50" s="3">
        <v>243</v>
      </c>
      <c r="L50" s="3">
        <v>264</v>
      </c>
      <c r="N50" s="3">
        <f>SUMPRODUCT(D50:J50,$D$144:$J$144)</f>
        <v>241.14257044662102</v>
      </c>
      <c r="O50" s="3">
        <f>SUMPRODUCT(D50:J50,$D$145:$J$145)</f>
        <v>241.14285517190513</v>
      </c>
      <c r="R50" s="2">
        <v>19360</v>
      </c>
      <c r="S50" s="3">
        <v>196</v>
      </c>
      <c r="T50" s="3">
        <f t="shared" si="0"/>
        <v>220.47662524777735</v>
      </c>
      <c r="U50" s="3"/>
    </row>
    <row r="51" spans="1:21" x14ac:dyDescent="0.3">
      <c r="A51" s="2">
        <v>19391</v>
      </c>
      <c r="B51" s="3">
        <v>196</v>
      </c>
      <c r="D51" s="3">
        <v>1</v>
      </c>
      <c r="E51" s="3">
        <v>196</v>
      </c>
      <c r="F51" s="3">
        <v>236</v>
      </c>
      <c r="G51" s="3">
        <v>235</v>
      </c>
      <c r="H51" s="3">
        <v>229</v>
      </c>
      <c r="I51" s="3">
        <v>243</v>
      </c>
      <c r="J51" s="3">
        <v>264</v>
      </c>
      <c r="L51" s="3">
        <v>272</v>
      </c>
      <c r="N51" s="3">
        <f>SUMPRODUCT(D51:J51,$D$144:$J$144)</f>
        <v>274.45192409413767</v>
      </c>
      <c r="O51" s="3">
        <f>SUMPRODUCT(D51:J51,$D$145:$J$145)</f>
        <v>274.45572104911349</v>
      </c>
      <c r="R51" s="2">
        <v>19391</v>
      </c>
      <c r="S51" s="3">
        <v>196</v>
      </c>
      <c r="T51" s="3">
        <f t="shared" si="0"/>
        <v>201.83686370304372</v>
      </c>
      <c r="U51" s="3"/>
    </row>
    <row r="52" spans="1:21" x14ac:dyDescent="0.3">
      <c r="A52" s="2">
        <v>19419</v>
      </c>
      <c r="B52" s="3">
        <v>236</v>
      </c>
      <c r="D52" s="3">
        <v>1</v>
      </c>
      <c r="E52" s="3">
        <v>236</v>
      </c>
      <c r="F52" s="3">
        <v>235</v>
      </c>
      <c r="G52" s="3">
        <v>229</v>
      </c>
      <c r="H52" s="3">
        <v>243</v>
      </c>
      <c r="I52" s="3">
        <v>264</v>
      </c>
      <c r="J52" s="3">
        <v>272</v>
      </c>
      <c r="L52" s="3">
        <v>237</v>
      </c>
      <c r="N52" s="3">
        <f>SUMPRODUCT(D52:J52,$D$144:$J$144)</f>
        <v>273.72439663018332</v>
      </c>
      <c r="O52" s="3">
        <f>SUMPRODUCT(D52:J52,$D$145:$J$145)</f>
        <v>273.72497843125313</v>
      </c>
      <c r="R52" s="2">
        <v>19419</v>
      </c>
      <c r="S52" s="3">
        <v>236</v>
      </c>
      <c r="T52" s="3">
        <f t="shared" si="0"/>
        <v>202.30617148772598</v>
      </c>
      <c r="U52" s="3"/>
    </row>
    <row r="53" spans="1:21" x14ac:dyDescent="0.3">
      <c r="A53" s="2">
        <v>19450</v>
      </c>
      <c r="B53" s="3">
        <v>235</v>
      </c>
      <c r="D53" s="3">
        <v>1</v>
      </c>
      <c r="E53" s="3">
        <v>235</v>
      </c>
      <c r="F53" s="3">
        <v>229</v>
      </c>
      <c r="G53" s="3">
        <v>243</v>
      </c>
      <c r="H53" s="3">
        <v>264</v>
      </c>
      <c r="I53" s="3">
        <v>272</v>
      </c>
      <c r="J53" s="3">
        <v>237</v>
      </c>
      <c r="L53" s="3">
        <v>211</v>
      </c>
      <c r="N53" s="3">
        <f>SUMPRODUCT(D53:J53,$D$144:$J$144)</f>
        <v>222.28580323196491</v>
      </c>
      <c r="O53" s="3">
        <f>SUMPRODUCT(D53:J53,$D$145:$J$145)</f>
        <v>222.28240054450373</v>
      </c>
      <c r="R53" s="2">
        <v>19450</v>
      </c>
      <c r="S53" s="3">
        <v>235</v>
      </c>
      <c r="T53" s="3">
        <f t="shared" si="0"/>
        <v>244.60587018994622</v>
      </c>
      <c r="U53" s="3"/>
    </row>
    <row r="54" spans="1:21" x14ac:dyDescent="0.3">
      <c r="A54" s="2">
        <v>19480</v>
      </c>
      <c r="B54" s="3">
        <v>229</v>
      </c>
      <c r="D54" s="3">
        <v>1</v>
      </c>
      <c r="E54" s="3">
        <v>229</v>
      </c>
      <c r="F54" s="3">
        <v>243</v>
      </c>
      <c r="G54" s="3">
        <v>264</v>
      </c>
      <c r="H54" s="3">
        <v>272</v>
      </c>
      <c r="I54" s="3">
        <v>237</v>
      </c>
      <c r="J54" s="3">
        <v>211</v>
      </c>
      <c r="L54" s="3">
        <v>180</v>
      </c>
      <c r="N54" s="3">
        <f>SUMPRODUCT(D54:J54,$D$144:$J$144)</f>
        <v>208.14542632251198</v>
      </c>
      <c r="O54" s="3">
        <f>SUMPRODUCT(D54:J54,$D$145:$J$145)</f>
        <v>208.14306584395604</v>
      </c>
      <c r="R54" s="2">
        <v>19480</v>
      </c>
      <c r="S54" s="3">
        <v>229</v>
      </c>
      <c r="T54" s="3">
        <f t="shared" si="0"/>
        <v>232.13847515769783</v>
      </c>
      <c r="U54" s="3"/>
    </row>
    <row r="55" spans="1:21" x14ac:dyDescent="0.3">
      <c r="A55" s="2">
        <v>19511</v>
      </c>
      <c r="B55" s="3">
        <v>243</v>
      </c>
      <c r="D55" s="3">
        <v>1</v>
      </c>
      <c r="E55" s="3">
        <v>243</v>
      </c>
      <c r="F55" s="3">
        <v>264</v>
      </c>
      <c r="G55" s="3">
        <v>272</v>
      </c>
      <c r="H55" s="3">
        <v>237</v>
      </c>
      <c r="I55" s="3">
        <v>211</v>
      </c>
      <c r="J55" s="3">
        <v>180</v>
      </c>
      <c r="L55" s="3">
        <v>201</v>
      </c>
      <c r="N55" s="3">
        <f>SUMPRODUCT(D55:J55,$D$144:$J$144)</f>
        <v>182.77731457259699</v>
      </c>
      <c r="O55" s="3">
        <f>SUMPRODUCT(D55:J55,$D$145:$J$145)</f>
        <v>182.77512757996504</v>
      </c>
      <c r="R55" s="2">
        <v>19511</v>
      </c>
      <c r="S55" s="3">
        <v>243</v>
      </c>
      <c r="T55" s="3">
        <f t="shared" si="0"/>
        <v>227.64559818406534</v>
      </c>
      <c r="U55" s="3"/>
    </row>
    <row r="56" spans="1:21" x14ac:dyDescent="0.3">
      <c r="A56" s="2">
        <v>19541</v>
      </c>
      <c r="B56" s="3">
        <v>264</v>
      </c>
      <c r="D56" s="3">
        <v>1</v>
      </c>
      <c r="E56" s="3">
        <v>264</v>
      </c>
      <c r="F56" s="3">
        <v>272</v>
      </c>
      <c r="G56" s="3">
        <v>237</v>
      </c>
      <c r="H56" s="3">
        <v>211</v>
      </c>
      <c r="I56" s="3">
        <v>180</v>
      </c>
      <c r="J56" s="3">
        <v>201</v>
      </c>
      <c r="L56" s="3">
        <v>204</v>
      </c>
      <c r="N56" s="3">
        <f>SUMPRODUCT(D56:J56,$D$144:$J$144)</f>
        <v>230.17218314464887</v>
      </c>
      <c r="O56" s="3">
        <f>SUMPRODUCT(D56:J56,$D$145:$J$145)</f>
        <v>230.17340230305692</v>
      </c>
      <c r="R56" s="2">
        <v>19541</v>
      </c>
      <c r="S56" s="3">
        <v>264</v>
      </c>
      <c r="T56" s="3">
        <f t="shared" si="0"/>
        <v>241.14285517190513</v>
      </c>
      <c r="U56" s="3"/>
    </row>
    <row r="57" spans="1:21" x14ac:dyDescent="0.3">
      <c r="A57" s="2">
        <v>19572</v>
      </c>
      <c r="B57" s="3">
        <v>272</v>
      </c>
      <c r="D57" s="3">
        <v>1</v>
      </c>
      <c r="E57" s="3">
        <v>272</v>
      </c>
      <c r="F57" s="3">
        <v>237</v>
      </c>
      <c r="G57" s="3">
        <v>211</v>
      </c>
      <c r="H57" s="3">
        <v>180</v>
      </c>
      <c r="I57" s="3">
        <v>201</v>
      </c>
      <c r="J57" s="3">
        <v>204</v>
      </c>
      <c r="L57" s="3">
        <v>188</v>
      </c>
      <c r="N57" s="3">
        <f>SUMPRODUCT(D57:J57,$D$144:$J$144)</f>
        <v>213.27817879162595</v>
      </c>
      <c r="O57" s="3">
        <f>SUMPRODUCT(D57:J57,$D$145:$J$145)</f>
        <v>213.27630543199774</v>
      </c>
      <c r="R57" s="2">
        <v>19572</v>
      </c>
      <c r="S57" s="3">
        <v>272</v>
      </c>
      <c r="T57" s="3">
        <f t="shared" si="0"/>
        <v>274.45572104911349</v>
      </c>
      <c r="U57" s="3"/>
    </row>
    <row r="58" spans="1:21" x14ac:dyDescent="0.3">
      <c r="A58" s="2">
        <v>19603</v>
      </c>
      <c r="B58" s="3">
        <v>237</v>
      </c>
      <c r="D58" s="3">
        <v>1</v>
      </c>
      <c r="E58" s="3">
        <v>237</v>
      </c>
      <c r="F58" s="3">
        <v>211</v>
      </c>
      <c r="G58" s="3">
        <v>180</v>
      </c>
      <c r="H58" s="3">
        <v>201</v>
      </c>
      <c r="I58" s="3">
        <v>204</v>
      </c>
      <c r="J58" s="3">
        <v>188</v>
      </c>
      <c r="L58" s="3">
        <v>235</v>
      </c>
      <c r="N58" s="3">
        <f>SUMPRODUCT(D58:J58,$D$144:$J$144)</f>
        <v>192.22055470869287</v>
      </c>
      <c r="O58" s="3">
        <f>SUMPRODUCT(D58:J58,$D$145:$J$145)</f>
        <v>192.21742765358482</v>
      </c>
      <c r="R58" s="2">
        <v>19603</v>
      </c>
      <c r="S58" s="3">
        <v>237</v>
      </c>
      <c r="T58" s="3">
        <f t="shared" si="0"/>
        <v>273.72497843125313</v>
      </c>
      <c r="U58" s="3"/>
    </row>
    <row r="59" spans="1:21" x14ac:dyDescent="0.3">
      <c r="A59" s="2">
        <v>19633</v>
      </c>
      <c r="B59" s="3">
        <v>211</v>
      </c>
      <c r="D59" s="3">
        <v>1</v>
      </c>
      <c r="E59" s="3">
        <v>211</v>
      </c>
      <c r="F59" s="3">
        <v>180</v>
      </c>
      <c r="G59" s="3">
        <v>201</v>
      </c>
      <c r="H59" s="3">
        <v>204</v>
      </c>
      <c r="I59" s="3">
        <v>188</v>
      </c>
      <c r="J59" s="3">
        <v>235</v>
      </c>
      <c r="L59" s="3">
        <v>227</v>
      </c>
      <c r="N59" s="3">
        <f>SUMPRODUCT(D59:J59,$D$144:$J$144)</f>
        <v>248.0543535500494</v>
      </c>
      <c r="O59" s="3">
        <f>SUMPRODUCT(D59:J59,$D$145:$J$145)</f>
        <v>248.05523403726164</v>
      </c>
      <c r="R59" s="2">
        <v>19633</v>
      </c>
      <c r="S59" s="3">
        <v>211</v>
      </c>
      <c r="T59" s="3">
        <f t="shared" si="0"/>
        <v>222.28240054450373</v>
      </c>
      <c r="U59" s="3"/>
    </row>
    <row r="60" spans="1:21" x14ac:dyDescent="0.3">
      <c r="A60" s="2">
        <v>19664</v>
      </c>
      <c r="B60" s="3">
        <v>180</v>
      </c>
      <c r="D60" s="3">
        <v>1</v>
      </c>
      <c r="E60" s="3">
        <v>180</v>
      </c>
      <c r="F60" s="3">
        <v>201</v>
      </c>
      <c r="G60" s="3">
        <v>204</v>
      </c>
      <c r="H60" s="3">
        <v>188</v>
      </c>
      <c r="I60" s="3">
        <v>235</v>
      </c>
      <c r="J60" s="3">
        <v>227</v>
      </c>
      <c r="L60" s="3">
        <v>234</v>
      </c>
      <c r="N60" s="3">
        <f>SUMPRODUCT(D60:J60,$D$144:$J$144)</f>
        <v>222.06603816662837</v>
      </c>
      <c r="O60" s="3">
        <f>SUMPRODUCT(D60:J60,$D$145:$J$145)</f>
        <v>222.06690627221005</v>
      </c>
      <c r="R60" s="2">
        <v>19664</v>
      </c>
      <c r="S60" s="3">
        <v>180</v>
      </c>
      <c r="T60" s="3">
        <f t="shared" si="0"/>
        <v>208.14306584395604</v>
      </c>
      <c r="U60" s="3"/>
    </row>
    <row r="61" spans="1:21" x14ac:dyDescent="0.3">
      <c r="A61" s="2">
        <v>19694</v>
      </c>
      <c r="B61" s="3">
        <v>201</v>
      </c>
      <c r="D61" s="3">
        <v>1</v>
      </c>
      <c r="E61" s="3">
        <v>201</v>
      </c>
      <c r="F61" s="3">
        <v>204</v>
      </c>
      <c r="G61" s="3">
        <v>188</v>
      </c>
      <c r="H61" s="3">
        <v>235</v>
      </c>
      <c r="I61" s="3">
        <v>227</v>
      </c>
      <c r="J61" s="3">
        <v>234</v>
      </c>
      <c r="L61" s="3">
        <v>264</v>
      </c>
      <c r="N61" s="3">
        <f>SUMPRODUCT(D61:J61,$D$144:$J$144)</f>
        <v>241.56344434584389</v>
      </c>
      <c r="O61" s="3">
        <f>SUMPRODUCT(D61:J61,$D$145:$J$145)</f>
        <v>241.56362367715957</v>
      </c>
      <c r="R61" s="2">
        <v>19694</v>
      </c>
      <c r="S61" s="3">
        <v>201</v>
      </c>
      <c r="T61" s="3">
        <f t="shared" si="0"/>
        <v>182.77512757996504</v>
      </c>
      <c r="U61" s="3"/>
    </row>
    <row r="62" spans="1:21" x14ac:dyDescent="0.3">
      <c r="A62" s="2">
        <v>19725</v>
      </c>
      <c r="B62" s="3">
        <v>204</v>
      </c>
      <c r="D62" s="3">
        <v>1</v>
      </c>
      <c r="E62" s="3">
        <v>204</v>
      </c>
      <c r="F62" s="3">
        <v>188</v>
      </c>
      <c r="G62" s="3">
        <v>235</v>
      </c>
      <c r="H62" s="3">
        <v>227</v>
      </c>
      <c r="I62" s="3">
        <v>234</v>
      </c>
      <c r="J62" s="3">
        <v>264</v>
      </c>
      <c r="L62" s="3">
        <v>302</v>
      </c>
      <c r="N62" s="3">
        <f>SUMPRODUCT(D62:J62,$D$144:$J$144)</f>
        <v>261.85783457180315</v>
      </c>
      <c r="O62" s="3">
        <f>SUMPRODUCT(D62:J62,$D$145:$J$145)</f>
        <v>261.8586298461795</v>
      </c>
      <c r="R62" s="2">
        <v>19725</v>
      </c>
      <c r="S62" s="3">
        <v>204</v>
      </c>
      <c r="T62" s="3">
        <f t="shared" si="0"/>
        <v>230.17340230305692</v>
      </c>
      <c r="U62" s="3"/>
    </row>
    <row r="63" spans="1:21" x14ac:dyDescent="0.3">
      <c r="A63" s="2">
        <v>19756</v>
      </c>
      <c r="B63" s="3">
        <v>188</v>
      </c>
      <c r="D63" s="3">
        <v>1</v>
      </c>
      <c r="E63" s="3">
        <v>188</v>
      </c>
      <c r="F63" s="3">
        <v>235</v>
      </c>
      <c r="G63" s="3">
        <v>227</v>
      </c>
      <c r="H63" s="3">
        <v>234</v>
      </c>
      <c r="I63" s="3">
        <v>264</v>
      </c>
      <c r="J63" s="3">
        <v>302</v>
      </c>
      <c r="L63" s="3">
        <v>293</v>
      </c>
      <c r="N63" s="3">
        <f>SUMPRODUCT(D63:J63,$D$144:$J$144)</f>
        <v>314.99111892847839</v>
      </c>
      <c r="O63" s="3">
        <f>SUMPRODUCT(D63:J63,$D$145:$J$145)</f>
        <v>314.99702617075695</v>
      </c>
      <c r="R63" s="2">
        <v>19756</v>
      </c>
      <c r="S63" s="3">
        <v>188</v>
      </c>
      <c r="T63" s="3">
        <f t="shared" si="0"/>
        <v>213.27630543199774</v>
      </c>
      <c r="U63" s="3"/>
    </row>
    <row r="64" spans="1:21" x14ac:dyDescent="0.3">
      <c r="A64" s="2">
        <v>19784</v>
      </c>
      <c r="B64" s="3">
        <v>235</v>
      </c>
      <c r="D64" s="3">
        <v>1</v>
      </c>
      <c r="E64" s="3">
        <v>235</v>
      </c>
      <c r="F64" s="3">
        <v>227</v>
      </c>
      <c r="G64" s="3">
        <v>234</v>
      </c>
      <c r="H64" s="3">
        <v>264</v>
      </c>
      <c r="I64" s="3">
        <v>302</v>
      </c>
      <c r="J64" s="3">
        <v>293</v>
      </c>
      <c r="L64" s="3">
        <v>259</v>
      </c>
      <c r="N64" s="3">
        <f>SUMPRODUCT(D64:J64,$D$144:$J$144)</f>
        <v>280.3742132449471</v>
      </c>
      <c r="O64" s="3">
        <f>SUMPRODUCT(D64:J64,$D$145:$J$145)</f>
        <v>280.3733602944709</v>
      </c>
      <c r="R64" s="2">
        <v>19784</v>
      </c>
      <c r="S64" s="3">
        <v>235</v>
      </c>
      <c r="T64" s="3">
        <f t="shared" si="0"/>
        <v>192.21742765358482</v>
      </c>
      <c r="U64" s="3"/>
    </row>
    <row r="65" spans="1:21" x14ac:dyDescent="0.3">
      <c r="A65" s="2">
        <v>19815</v>
      </c>
      <c r="B65" s="3">
        <v>227</v>
      </c>
      <c r="D65" s="3">
        <v>1</v>
      </c>
      <c r="E65" s="3">
        <v>227</v>
      </c>
      <c r="F65" s="3">
        <v>234</v>
      </c>
      <c r="G65" s="3">
        <v>264</v>
      </c>
      <c r="H65" s="3">
        <v>302</v>
      </c>
      <c r="I65" s="3">
        <v>293</v>
      </c>
      <c r="J65" s="3">
        <v>259</v>
      </c>
      <c r="L65" s="3">
        <v>229</v>
      </c>
      <c r="N65" s="3">
        <f>SUMPRODUCT(D65:J65,$D$144:$J$144)</f>
        <v>242.03678355740237</v>
      </c>
      <c r="O65" s="3">
        <f>SUMPRODUCT(D65:J65,$D$145:$J$145)</f>
        <v>242.03391941205621</v>
      </c>
      <c r="R65" s="2">
        <v>19815</v>
      </c>
      <c r="S65" s="3">
        <v>227</v>
      </c>
      <c r="T65" s="3">
        <f t="shared" si="0"/>
        <v>248.05523403726164</v>
      </c>
      <c r="U65" s="3"/>
    </row>
    <row r="66" spans="1:21" x14ac:dyDescent="0.3">
      <c r="A66" s="2">
        <v>19845</v>
      </c>
      <c r="B66" s="3">
        <v>234</v>
      </c>
      <c r="D66" s="3">
        <v>1</v>
      </c>
      <c r="E66" s="3">
        <v>234</v>
      </c>
      <c r="F66" s="3">
        <v>264</v>
      </c>
      <c r="G66" s="3">
        <v>302</v>
      </c>
      <c r="H66" s="3">
        <v>293</v>
      </c>
      <c r="I66" s="3">
        <v>259</v>
      </c>
      <c r="J66" s="3">
        <v>229</v>
      </c>
      <c r="L66" s="3">
        <v>203</v>
      </c>
      <c r="N66" s="3">
        <f>SUMPRODUCT(D66:J66,$D$144:$J$144)</f>
        <v>222.29085563349241</v>
      </c>
      <c r="O66" s="3">
        <f>SUMPRODUCT(D66:J66,$D$145:$J$145)</f>
        <v>222.28912104552603</v>
      </c>
      <c r="R66" s="2">
        <v>19845</v>
      </c>
      <c r="S66" s="3">
        <v>234</v>
      </c>
      <c r="T66" s="3">
        <f t="shared" si="0"/>
        <v>222.06690627221005</v>
      </c>
      <c r="U66" s="3"/>
    </row>
    <row r="67" spans="1:21" x14ac:dyDescent="0.3">
      <c r="A67" s="2">
        <v>19876</v>
      </c>
      <c r="B67" s="3">
        <v>264</v>
      </c>
      <c r="D67" s="3">
        <v>1</v>
      </c>
      <c r="E67" s="3">
        <v>264</v>
      </c>
      <c r="F67" s="3">
        <v>302</v>
      </c>
      <c r="G67" s="3">
        <v>293</v>
      </c>
      <c r="H67" s="3">
        <v>259</v>
      </c>
      <c r="I67" s="3">
        <v>229</v>
      </c>
      <c r="J67" s="3">
        <v>203</v>
      </c>
      <c r="L67" s="3">
        <v>229</v>
      </c>
      <c r="N67" s="3">
        <f>SUMPRODUCT(D67:J67,$D$144:$J$144)</f>
        <v>213.12229269920829</v>
      </c>
      <c r="O67" s="3">
        <f>SUMPRODUCT(D67:J67,$D$145:$J$145)</f>
        <v>213.1216040919704</v>
      </c>
      <c r="R67" s="2">
        <v>19876</v>
      </c>
      <c r="S67" s="3">
        <v>264</v>
      </c>
      <c r="T67" s="3">
        <f t="shared" si="0"/>
        <v>241.56362367715957</v>
      </c>
      <c r="U67" s="3"/>
    </row>
    <row r="68" spans="1:21" x14ac:dyDescent="0.3">
      <c r="A68" s="2">
        <v>19906</v>
      </c>
      <c r="B68" s="3">
        <v>302</v>
      </c>
      <c r="D68" s="3">
        <v>1</v>
      </c>
      <c r="E68" s="3">
        <v>302</v>
      </c>
      <c r="F68" s="3">
        <v>293</v>
      </c>
      <c r="G68" s="3">
        <v>259</v>
      </c>
      <c r="H68" s="3">
        <v>229</v>
      </c>
      <c r="I68" s="3">
        <v>203</v>
      </c>
      <c r="J68" s="3">
        <v>229</v>
      </c>
      <c r="L68" s="3">
        <v>242</v>
      </c>
      <c r="N68" s="3">
        <f>SUMPRODUCT(D68:J68,$D$144:$J$144)</f>
        <v>257.04636635673</v>
      </c>
      <c r="O68" s="3">
        <f>SUMPRODUCT(D68:J68,$D$145:$J$145)</f>
        <v>257.04714959727505</v>
      </c>
      <c r="R68" s="2">
        <v>19906</v>
      </c>
      <c r="S68" s="3">
        <v>302</v>
      </c>
      <c r="T68" s="3">
        <f t="shared" si="0"/>
        <v>261.8586298461795</v>
      </c>
      <c r="U68" s="3"/>
    </row>
    <row r="69" spans="1:21" x14ac:dyDescent="0.3">
      <c r="A69" s="2">
        <v>19937</v>
      </c>
      <c r="B69" s="3">
        <v>293</v>
      </c>
      <c r="D69" s="3">
        <v>1</v>
      </c>
      <c r="E69" s="3">
        <v>293</v>
      </c>
      <c r="F69" s="3">
        <v>259</v>
      </c>
      <c r="G69" s="3">
        <v>229</v>
      </c>
      <c r="H69" s="3">
        <v>203</v>
      </c>
      <c r="I69" s="3">
        <v>229</v>
      </c>
      <c r="J69" s="3">
        <v>242</v>
      </c>
      <c r="L69" s="3">
        <v>233</v>
      </c>
      <c r="N69" s="3">
        <f>SUMPRODUCT(D69:J69,$D$144:$J$144)</f>
        <v>253.16916841481793</v>
      </c>
      <c r="O69" s="3">
        <f>SUMPRODUCT(D69:J69,$D$145:$J$145)</f>
        <v>253.1683467723779</v>
      </c>
      <c r="R69" s="2">
        <v>19937</v>
      </c>
      <c r="S69" s="3">
        <v>293</v>
      </c>
      <c r="T69" s="3">
        <f t="shared" si="0"/>
        <v>314.99702617075695</v>
      </c>
      <c r="U69" s="3"/>
    </row>
    <row r="70" spans="1:21" x14ac:dyDescent="0.3">
      <c r="A70" s="2">
        <v>19968</v>
      </c>
      <c r="B70" s="3">
        <v>259</v>
      </c>
      <c r="D70" s="3">
        <v>1</v>
      </c>
      <c r="E70" s="3">
        <v>259</v>
      </c>
      <c r="F70" s="3">
        <v>229</v>
      </c>
      <c r="G70" s="3">
        <v>203</v>
      </c>
      <c r="H70" s="3">
        <v>229</v>
      </c>
      <c r="I70" s="3">
        <v>242</v>
      </c>
      <c r="J70" s="3">
        <v>233</v>
      </c>
      <c r="L70" s="3">
        <v>267</v>
      </c>
      <c r="N70" s="3">
        <f>SUMPRODUCT(D70:J70,$D$144:$J$144)</f>
        <v>234.31723333405944</v>
      </c>
      <c r="O70" s="3">
        <f>SUMPRODUCT(D70:J70,$D$145:$J$145)</f>
        <v>234.31468906834905</v>
      </c>
      <c r="R70" s="2">
        <v>19968</v>
      </c>
      <c r="S70" s="3">
        <v>259</v>
      </c>
      <c r="T70" s="3">
        <f t="shared" si="0"/>
        <v>280.3733602944709</v>
      </c>
      <c r="U70" s="3"/>
    </row>
    <row r="71" spans="1:21" x14ac:dyDescent="0.3">
      <c r="A71" s="2">
        <v>19998</v>
      </c>
      <c r="B71" s="3">
        <v>229</v>
      </c>
      <c r="D71" s="3">
        <v>1</v>
      </c>
      <c r="E71" s="3">
        <v>229</v>
      </c>
      <c r="F71" s="3">
        <v>203</v>
      </c>
      <c r="G71" s="3">
        <v>229</v>
      </c>
      <c r="H71" s="3">
        <v>242</v>
      </c>
      <c r="I71" s="3">
        <v>233</v>
      </c>
      <c r="J71" s="3">
        <v>267</v>
      </c>
      <c r="L71" s="3">
        <v>269</v>
      </c>
      <c r="N71" s="3">
        <f>SUMPRODUCT(D71:J71,$D$144:$J$144)</f>
        <v>271.99965197431339</v>
      </c>
      <c r="O71" s="3">
        <f>SUMPRODUCT(D71:J71,$D$145:$J$145)</f>
        <v>272.00003979272964</v>
      </c>
      <c r="R71" s="2">
        <v>19998</v>
      </c>
      <c r="S71" s="3">
        <v>229</v>
      </c>
      <c r="T71" s="3">
        <f t="shared" si="0"/>
        <v>242.03391941205621</v>
      </c>
      <c r="U71" s="3"/>
    </row>
    <row r="72" spans="1:21" x14ac:dyDescent="0.3">
      <c r="A72" s="2">
        <v>20029</v>
      </c>
      <c r="B72" s="3">
        <v>203</v>
      </c>
      <c r="D72" s="3">
        <v>1</v>
      </c>
      <c r="E72" s="3">
        <v>203</v>
      </c>
      <c r="F72" s="3">
        <v>229</v>
      </c>
      <c r="G72" s="3">
        <v>242</v>
      </c>
      <c r="H72" s="3">
        <v>233</v>
      </c>
      <c r="I72" s="3">
        <v>267</v>
      </c>
      <c r="J72" s="3">
        <v>269</v>
      </c>
      <c r="L72" s="3">
        <v>270</v>
      </c>
      <c r="N72" s="3">
        <f>SUMPRODUCT(D72:J72,$D$144:$J$144)</f>
        <v>265.37815853750573</v>
      </c>
      <c r="O72" s="3">
        <f>SUMPRODUCT(D72:J72,$D$145:$J$145)</f>
        <v>265.37995771388142</v>
      </c>
      <c r="R72" s="2">
        <v>20029</v>
      </c>
      <c r="S72" s="3">
        <v>203</v>
      </c>
      <c r="T72" s="3">
        <f t="shared" si="0"/>
        <v>222.28912104552603</v>
      </c>
      <c r="U72" s="3"/>
    </row>
    <row r="73" spans="1:21" x14ac:dyDescent="0.3">
      <c r="A73" s="2">
        <v>20059</v>
      </c>
      <c r="B73" s="3">
        <v>229</v>
      </c>
      <c r="D73" s="3">
        <v>1</v>
      </c>
      <c r="E73" s="3">
        <v>229</v>
      </c>
      <c r="F73" s="3">
        <v>242</v>
      </c>
      <c r="G73" s="3">
        <v>233</v>
      </c>
      <c r="H73" s="3">
        <v>267</v>
      </c>
      <c r="I73" s="3">
        <v>269</v>
      </c>
      <c r="J73" s="3">
        <v>270</v>
      </c>
      <c r="L73" s="3">
        <v>315</v>
      </c>
      <c r="N73" s="3">
        <f>SUMPRODUCT(D73:J73,$D$144:$J$144)</f>
        <v>272.94869774595583</v>
      </c>
      <c r="O73" s="3">
        <f>SUMPRODUCT(D73:J73,$D$145:$J$145)</f>
        <v>272.94927032313018</v>
      </c>
      <c r="R73" s="2">
        <v>20059</v>
      </c>
      <c r="S73" s="3">
        <v>229</v>
      </c>
      <c r="T73" s="3">
        <f t="shared" ref="T73:T133" si="1">O67</f>
        <v>213.1216040919704</v>
      </c>
      <c r="U73" s="3"/>
    </row>
    <row r="74" spans="1:21" x14ac:dyDescent="0.3">
      <c r="A74" s="2">
        <v>20090</v>
      </c>
      <c r="B74" s="3">
        <v>242</v>
      </c>
      <c r="D74" s="3">
        <v>1</v>
      </c>
      <c r="E74" s="3">
        <v>242</v>
      </c>
      <c r="F74" s="3">
        <v>233</v>
      </c>
      <c r="G74" s="3">
        <v>267</v>
      </c>
      <c r="H74" s="3">
        <v>269</v>
      </c>
      <c r="I74" s="3">
        <v>270</v>
      </c>
      <c r="J74" s="3">
        <v>315</v>
      </c>
      <c r="L74" s="3">
        <v>364</v>
      </c>
      <c r="N74" s="3">
        <f>SUMPRODUCT(D74:J74,$D$144:$J$144)</f>
        <v>320.33025890337808</v>
      </c>
      <c r="O74" s="3">
        <f>SUMPRODUCT(D74:J74,$D$145:$J$145)</f>
        <v>320.33276172696458</v>
      </c>
      <c r="R74" s="2">
        <v>20090</v>
      </c>
      <c r="S74" s="3">
        <v>242</v>
      </c>
      <c r="T74" s="3">
        <f t="shared" si="1"/>
        <v>257.04714959727505</v>
      </c>
      <c r="U74" s="3"/>
    </row>
    <row r="75" spans="1:21" x14ac:dyDescent="0.3">
      <c r="A75" s="2">
        <v>20121</v>
      </c>
      <c r="B75" s="3">
        <v>233</v>
      </c>
      <c r="D75" s="3">
        <v>1</v>
      </c>
      <c r="E75" s="3">
        <v>233</v>
      </c>
      <c r="F75" s="3">
        <v>267</v>
      </c>
      <c r="G75" s="3">
        <v>269</v>
      </c>
      <c r="H75" s="3">
        <v>270</v>
      </c>
      <c r="I75" s="3">
        <v>315</v>
      </c>
      <c r="J75" s="3">
        <v>364</v>
      </c>
      <c r="L75" s="3">
        <v>347</v>
      </c>
      <c r="N75" s="3">
        <f>SUMPRODUCT(D75:J75,$D$144:$J$144)</f>
        <v>373.03560833149186</v>
      </c>
      <c r="O75" s="3">
        <f>SUMPRODUCT(D75:J75,$D$145:$J$145)</f>
        <v>373.04199349948823</v>
      </c>
      <c r="R75" s="2">
        <v>20121</v>
      </c>
      <c r="S75" s="3">
        <v>233</v>
      </c>
      <c r="T75" s="3">
        <f t="shared" si="1"/>
        <v>253.1683467723779</v>
      </c>
      <c r="U75" s="3"/>
    </row>
    <row r="76" spans="1:21" x14ac:dyDescent="0.3">
      <c r="A76" s="2">
        <v>20149</v>
      </c>
      <c r="B76" s="3">
        <v>267</v>
      </c>
      <c r="D76" s="3">
        <v>1</v>
      </c>
      <c r="E76" s="3">
        <v>267</v>
      </c>
      <c r="F76" s="3">
        <v>269</v>
      </c>
      <c r="G76" s="3">
        <v>270</v>
      </c>
      <c r="H76" s="3">
        <v>315</v>
      </c>
      <c r="I76" s="3">
        <v>364</v>
      </c>
      <c r="J76" s="3">
        <v>347</v>
      </c>
      <c r="L76" s="3">
        <v>312</v>
      </c>
      <c r="N76" s="3">
        <f>SUMPRODUCT(D76:J76,$D$144:$J$144)</f>
        <v>329.43572559989968</v>
      </c>
      <c r="O76" s="3">
        <f>SUMPRODUCT(D76:J76,$D$145:$J$145)</f>
        <v>329.43525751777071</v>
      </c>
      <c r="R76" s="2">
        <v>20149</v>
      </c>
      <c r="S76" s="3">
        <v>267</v>
      </c>
      <c r="T76" s="3">
        <f t="shared" si="1"/>
        <v>234.31468906834905</v>
      </c>
      <c r="U76" s="3"/>
    </row>
    <row r="77" spans="1:21" x14ac:dyDescent="0.3">
      <c r="A77" s="2">
        <v>20180</v>
      </c>
      <c r="B77" s="3">
        <v>269</v>
      </c>
      <c r="D77" s="3">
        <v>1</v>
      </c>
      <c r="E77" s="3">
        <v>269</v>
      </c>
      <c r="F77" s="3">
        <v>270</v>
      </c>
      <c r="G77" s="3">
        <v>315</v>
      </c>
      <c r="H77" s="3">
        <v>364</v>
      </c>
      <c r="I77" s="3">
        <v>347</v>
      </c>
      <c r="J77" s="3">
        <v>312</v>
      </c>
      <c r="L77" s="3">
        <v>274</v>
      </c>
      <c r="N77" s="3">
        <f>SUMPRODUCT(D77:J77,$D$144:$J$144)</f>
        <v>289.29847077212099</v>
      </c>
      <c r="O77" s="3">
        <f>SUMPRODUCT(D77:J77,$D$145:$J$145)</f>
        <v>289.29515516171659</v>
      </c>
      <c r="R77" s="2">
        <v>20180</v>
      </c>
      <c r="S77" s="3">
        <v>269</v>
      </c>
      <c r="T77" s="3">
        <f t="shared" si="1"/>
        <v>272.00003979272964</v>
      </c>
      <c r="U77" s="3"/>
    </row>
    <row r="78" spans="1:21" x14ac:dyDescent="0.3">
      <c r="A78" s="2">
        <v>20210</v>
      </c>
      <c r="B78" s="3">
        <v>270</v>
      </c>
      <c r="D78" s="3">
        <v>1</v>
      </c>
      <c r="E78" s="3">
        <v>270</v>
      </c>
      <c r="F78" s="3">
        <v>315</v>
      </c>
      <c r="G78" s="3">
        <v>364</v>
      </c>
      <c r="H78" s="3">
        <v>347</v>
      </c>
      <c r="I78" s="3">
        <v>312</v>
      </c>
      <c r="J78" s="3">
        <v>274</v>
      </c>
      <c r="L78" s="3">
        <v>237</v>
      </c>
      <c r="N78" s="3">
        <f>SUMPRODUCT(D78:J78,$D$144:$J$144)</f>
        <v>262.59668833512205</v>
      </c>
      <c r="O78" s="3">
        <f>SUMPRODUCT(D78:J78,$D$145:$J$145)</f>
        <v>262.59532265112739</v>
      </c>
      <c r="R78" s="2">
        <v>20210</v>
      </c>
      <c r="S78" s="3">
        <v>270</v>
      </c>
      <c r="T78" s="3">
        <f t="shared" si="1"/>
        <v>265.37995771388142</v>
      </c>
      <c r="U78" s="3"/>
    </row>
    <row r="79" spans="1:21" x14ac:dyDescent="0.3">
      <c r="A79" s="2">
        <v>20241</v>
      </c>
      <c r="B79" s="3">
        <v>315</v>
      </c>
      <c r="D79" s="3">
        <v>1</v>
      </c>
      <c r="E79" s="3">
        <v>315</v>
      </c>
      <c r="F79" s="3">
        <v>364</v>
      </c>
      <c r="G79" s="3">
        <v>347</v>
      </c>
      <c r="H79" s="3">
        <v>312</v>
      </c>
      <c r="I79" s="3">
        <v>274</v>
      </c>
      <c r="J79" s="3">
        <v>237</v>
      </c>
      <c r="L79" s="3">
        <v>278</v>
      </c>
      <c r="N79" s="3">
        <f>SUMPRODUCT(D79:J79,$D$144:$J$144)</f>
        <v>247.30437199547836</v>
      </c>
      <c r="O79" s="3">
        <f>SUMPRODUCT(D79:J79,$D$145:$J$145)</f>
        <v>247.30355602965861</v>
      </c>
      <c r="R79" s="2">
        <v>20241</v>
      </c>
      <c r="S79" s="3">
        <v>315</v>
      </c>
      <c r="T79" s="3">
        <f t="shared" si="1"/>
        <v>272.94927032313018</v>
      </c>
      <c r="U79" s="3"/>
    </row>
    <row r="80" spans="1:21" x14ac:dyDescent="0.3">
      <c r="A80" s="2">
        <v>20271</v>
      </c>
      <c r="B80" s="3">
        <v>364</v>
      </c>
      <c r="D80" s="3">
        <v>1</v>
      </c>
      <c r="E80" s="3">
        <v>364</v>
      </c>
      <c r="F80" s="3">
        <v>347</v>
      </c>
      <c r="G80" s="3">
        <v>312</v>
      </c>
      <c r="H80" s="3">
        <v>274</v>
      </c>
      <c r="I80" s="3">
        <v>237</v>
      </c>
      <c r="J80" s="3">
        <v>278</v>
      </c>
      <c r="L80" s="3">
        <v>284</v>
      </c>
      <c r="N80" s="3">
        <f>SUMPRODUCT(D80:J80,$D$144:$J$144)</f>
        <v>311.87247908027189</v>
      </c>
      <c r="O80" s="3">
        <f>SUMPRODUCT(D80:J80,$D$145:$J$145)</f>
        <v>311.87394893152049</v>
      </c>
      <c r="R80" s="2">
        <v>20271</v>
      </c>
      <c r="S80" s="3">
        <v>364</v>
      </c>
      <c r="T80" s="3">
        <f t="shared" si="1"/>
        <v>320.33276172696458</v>
      </c>
      <c r="U80" s="3"/>
    </row>
    <row r="81" spans="1:21" x14ac:dyDescent="0.3">
      <c r="A81" s="2">
        <v>20302</v>
      </c>
      <c r="B81" s="3">
        <v>347</v>
      </c>
      <c r="D81" s="3">
        <v>1</v>
      </c>
      <c r="E81" s="3">
        <v>347</v>
      </c>
      <c r="F81" s="3">
        <v>312</v>
      </c>
      <c r="G81" s="3">
        <v>274</v>
      </c>
      <c r="H81" s="3">
        <v>237</v>
      </c>
      <c r="I81" s="3">
        <v>278</v>
      </c>
      <c r="J81" s="3">
        <v>284</v>
      </c>
      <c r="L81" s="3">
        <v>277</v>
      </c>
      <c r="N81" s="3">
        <f>SUMPRODUCT(D81:J81,$D$144:$J$144)</f>
        <v>292.34632571426903</v>
      </c>
      <c r="O81" s="3">
        <f>SUMPRODUCT(D81:J81,$D$145:$J$145)</f>
        <v>292.34537296321952</v>
      </c>
      <c r="R81" s="2">
        <v>20302</v>
      </c>
      <c r="S81" s="3">
        <v>347</v>
      </c>
      <c r="T81" s="3">
        <f t="shared" si="1"/>
        <v>373.04199349948823</v>
      </c>
      <c r="U81" s="3"/>
    </row>
    <row r="82" spans="1:21" x14ac:dyDescent="0.3">
      <c r="A82" s="2">
        <v>20333</v>
      </c>
      <c r="B82" s="3">
        <v>312</v>
      </c>
      <c r="D82" s="3">
        <v>1</v>
      </c>
      <c r="E82" s="3">
        <v>312</v>
      </c>
      <c r="F82" s="3">
        <v>274</v>
      </c>
      <c r="G82" s="3">
        <v>237</v>
      </c>
      <c r="H82" s="3">
        <v>278</v>
      </c>
      <c r="I82" s="3">
        <v>284</v>
      </c>
      <c r="J82" s="3">
        <v>277</v>
      </c>
      <c r="L82" s="3">
        <v>317</v>
      </c>
      <c r="N82" s="3">
        <f>SUMPRODUCT(D82:J82,$D$144:$J$144)</f>
        <v>280.12660274565263</v>
      </c>
      <c r="O82" s="3">
        <f>SUMPRODUCT(D82:J82,$D$145:$J$145)</f>
        <v>280.12385609127938</v>
      </c>
      <c r="R82" s="2">
        <v>20333</v>
      </c>
      <c r="S82" s="3">
        <v>312</v>
      </c>
      <c r="T82" s="3">
        <f t="shared" si="1"/>
        <v>329.43525751777071</v>
      </c>
      <c r="U82" s="3"/>
    </row>
    <row r="83" spans="1:21" x14ac:dyDescent="0.3">
      <c r="A83" s="2">
        <v>20363</v>
      </c>
      <c r="B83" s="3">
        <v>274</v>
      </c>
      <c r="D83" s="3">
        <v>1</v>
      </c>
      <c r="E83" s="3">
        <v>274</v>
      </c>
      <c r="F83" s="3">
        <v>237</v>
      </c>
      <c r="G83" s="3">
        <v>278</v>
      </c>
      <c r="H83" s="3">
        <v>284</v>
      </c>
      <c r="I83" s="3">
        <v>277</v>
      </c>
      <c r="J83" s="3">
        <v>317</v>
      </c>
      <c r="L83" s="3">
        <v>313</v>
      </c>
      <c r="N83" s="3">
        <f>SUMPRODUCT(D83:J83,$D$144:$J$144)</f>
        <v>318.02677766722138</v>
      </c>
      <c r="O83" s="3">
        <f>SUMPRODUCT(D83:J83,$D$145:$J$145)</f>
        <v>318.02710671991366</v>
      </c>
      <c r="R83" s="2">
        <v>20363</v>
      </c>
      <c r="S83" s="3">
        <v>274</v>
      </c>
      <c r="T83" s="3">
        <f t="shared" si="1"/>
        <v>289.29515516171659</v>
      </c>
      <c r="U83" s="3"/>
    </row>
    <row r="84" spans="1:21" x14ac:dyDescent="0.3">
      <c r="A84" s="2">
        <v>20394</v>
      </c>
      <c r="B84" s="3">
        <v>237</v>
      </c>
      <c r="D84" s="3">
        <v>1</v>
      </c>
      <c r="E84" s="3">
        <v>237</v>
      </c>
      <c r="F84" s="3">
        <v>278</v>
      </c>
      <c r="G84" s="3">
        <v>284</v>
      </c>
      <c r="H84" s="3">
        <v>277</v>
      </c>
      <c r="I84" s="3">
        <v>317</v>
      </c>
      <c r="J84" s="3">
        <v>313</v>
      </c>
      <c r="L84" s="3">
        <v>318</v>
      </c>
      <c r="N84" s="3">
        <f>SUMPRODUCT(D84:J84,$D$144:$J$144)</f>
        <v>308.03256924793834</v>
      </c>
      <c r="O84" s="3">
        <f>SUMPRODUCT(D84:J84,$D$145:$J$145)</f>
        <v>308.03509670868226</v>
      </c>
      <c r="R84" s="2">
        <v>20394</v>
      </c>
      <c r="S84" s="3">
        <v>237</v>
      </c>
      <c r="T84" s="3">
        <f t="shared" si="1"/>
        <v>262.59532265112739</v>
      </c>
      <c r="U84" s="3"/>
    </row>
    <row r="85" spans="1:21" x14ac:dyDescent="0.3">
      <c r="A85" s="2">
        <v>20424</v>
      </c>
      <c r="B85" s="3">
        <v>278</v>
      </c>
      <c r="D85" s="3">
        <v>1</v>
      </c>
      <c r="E85" s="3">
        <v>278</v>
      </c>
      <c r="F85" s="3">
        <v>284</v>
      </c>
      <c r="G85" s="3">
        <v>277</v>
      </c>
      <c r="H85" s="3">
        <v>317</v>
      </c>
      <c r="I85" s="3">
        <v>313</v>
      </c>
      <c r="J85" s="3">
        <v>318</v>
      </c>
      <c r="L85" s="3">
        <v>374</v>
      </c>
      <c r="N85" s="3">
        <f>SUMPRODUCT(D85:J85,$D$144:$J$144)</f>
        <v>320.45549630401098</v>
      </c>
      <c r="O85" s="3">
        <f>SUMPRODUCT(D85:J85,$D$145:$J$145)</f>
        <v>320.45603191018438</v>
      </c>
      <c r="R85" s="2">
        <v>20424</v>
      </c>
      <c r="S85" s="3">
        <v>278</v>
      </c>
      <c r="T85" s="3">
        <f t="shared" si="1"/>
        <v>247.30355602965861</v>
      </c>
      <c r="U85" s="3"/>
    </row>
    <row r="86" spans="1:21" x14ac:dyDescent="0.3">
      <c r="A86" s="2">
        <v>20455</v>
      </c>
      <c r="B86" s="3">
        <v>284</v>
      </c>
      <c r="D86" s="3">
        <v>1</v>
      </c>
      <c r="E86" s="3">
        <v>284</v>
      </c>
      <c r="F86" s="3">
        <v>277</v>
      </c>
      <c r="G86" s="3">
        <v>317</v>
      </c>
      <c r="H86" s="3">
        <v>313</v>
      </c>
      <c r="I86" s="3">
        <v>318</v>
      </c>
      <c r="J86" s="3">
        <v>374</v>
      </c>
      <c r="L86" s="3">
        <v>413</v>
      </c>
      <c r="N86" s="3">
        <f>SUMPRODUCT(D86:J86,$D$144:$J$144)</f>
        <v>379.53448759525804</v>
      </c>
      <c r="O86" s="3">
        <f>SUMPRODUCT(D86:J86,$D$145:$J$145)</f>
        <v>379.5381865356797</v>
      </c>
      <c r="R86" s="2">
        <v>20455</v>
      </c>
      <c r="S86" s="3">
        <v>284</v>
      </c>
      <c r="T86" s="3">
        <f t="shared" si="1"/>
        <v>311.87394893152049</v>
      </c>
      <c r="U86" s="3"/>
    </row>
    <row r="87" spans="1:21" x14ac:dyDescent="0.3">
      <c r="A87" s="2">
        <v>20486</v>
      </c>
      <c r="B87" s="3">
        <v>277</v>
      </c>
      <c r="D87" s="3">
        <v>1</v>
      </c>
      <c r="E87" s="3">
        <v>277</v>
      </c>
      <c r="F87" s="3">
        <v>317</v>
      </c>
      <c r="G87" s="3">
        <v>313</v>
      </c>
      <c r="H87" s="3">
        <v>318</v>
      </c>
      <c r="I87" s="3">
        <v>374</v>
      </c>
      <c r="J87" s="3">
        <v>413</v>
      </c>
      <c r="L87" s="3">
        <v>405</v>
      </c>
      <c r="N87" s="3">
        <f>SUMPRODUCT(D87:J87,$D$144:$J$144)</f>
        <v>417.362148278669</v>
      </c>
      <c r="O87" s="3">
        <f>SUMPRODUCT(D87:J87,$D$145:$J$145)</f>
        <v>417.36852506168429</v>
      </c>
      <c r="R87" s="2">
        <v>20486</v>
      </c>
      <c r="S87" s="3">
        <v>277</v>
      </c>
      <c r="T87" s="3">
        <f t="shared" si="1"/>
        <v>292.34537296321952</v>
      </c>
      <c r="U87" s="3"/>
    </row>
    <row r="88" spans="1:21" x14ac:dyDescent="0.3">
      <c r="A88" s="2">
        <v>20515</v>
      </c>
      <c r="B88" s="3">
        <v>317</v>
      </c>
      <c r="D88" s="3">
        <v>1</v>
      </c>
      <c r="E88" s="3">
        <v>317</v>
      </c>
      <c r="F88" s="3">
        <v>313</v>
      </c>
      <c r="G88" s="3">
        <v>318</v>
      </c>
      <c r="H88" s="3">
        <v>374</v>
      </c>
      <c r="I88" s="3">
        <v>413</v>
      </c>
      <c r="J88" s="3">
        <v>405</v>
      </c>
      <c r="L88" s="3">
        <v>355</v>
      </c>
      <c r="N88" s="3">
        <f>SUMPRODUCT(D88:J88,$D$144:$J$144)</f>
        <v>388.00769340293061</v>
      </c>
      <c r="O88" s="3">
        <f>SUMPRODUCT(D88:J88,$D$145:$J$145)</f>
        <v>388.00758089722115</v>
      </c>
      <c r="R88" s="2">
        <v>20515</v>
      </c>
      <c r="S88" s="3">
        <v>317</v>
      </c>
      <c r="T88" s="3">
        <f t="shared" si="1"/>
        <v>280.12385609127938</v>
      </c>
      <c r="U88" s="3"/>
    </row>
    <row r="89" spans="1:21" x14ac:dyDescent="0.3">
      <c r="A89" s="2">
        <v>20546</v>
      </c>
      <c r="B89" s="3">
        <v>313</v>
      </c>
      <c r="D89" s="3">
        <v>1</v>
      </c>
      <c r="E89" s="3">
        <v>313</v>
      </c>
      <c r="F89" s="3">
        <v>318</v>
      </c>
      <c r="G89" s="3">
        <v>374</v>
      </c>
      <c r="H89" s="3">
        <v>413</v>
      </c>
      <c r="I89" s="3">
        <v>405</v>
      </c>
      <c r="J89" s="3">
        <v>355</v>
      </c>
      <c r="L89" s="3">
        <v>306</v>
      </c>
      <c r="N89" s="3">
        <f>SUMPRODUCT(D89:J89,$D$144:$J$144)</f>
        <v>323.13791613975422</v>
      </c>
      <c r="O89" s="3">
        <f>SUMPRODUCT(D89:J89,$D$145:$J$145)</f>
        <v>323.13395174473465</v>
      </c>
      <c r="R89" s="2">
        <v>20546</v>
      </c>
      <c r="S89" s="3">
        <v>313</v>
      </c>
      <c r="T89" s="3">
        <f t="shared" si="1"/>
        <v>318.02710671991366</v>
      </c>
      <c r="U89" s="3"/>
    </row>
    <row r="90" spans="1:21" x14ac:dyDescent="0.3">
      <c r="A90" s="2">
        <v>20576</v>
      </c>
      <c r="B90" s="3">
        <v>318</v>
      </c>
      <c r="D90" s="3">
        <v>1</v>
      </c>
      <c r="E90" s="3">
        <v>318</v>
      </c>
      <c r="F90" s="3">
        <v>374</v>
      </c>
      <c r="G90" s="3">
        <v>413</v>
      </c>
      <c r="H90" s="3">
        <v>405</v>
      </c>
      <c r="I90" s="3">
        <v>355</v>
      </c>
      <c r="J90" s="3">
        <v>306</v>
      </c>
      <c r="L90" s="3">
        <v>271</v>
      </c>
      <c r="N90" s="3">
        <f>SUMPRODUCT(D90:J90,$D$144:$J$144)</f>
        <v>295.71110290296792</v>
      </c>
      <c r="O90" s="3">
        <f>SUMPRODUCT(D90:J90,$D$145:$J$145)</f>
        <v>295.70949741434697</v>
      </c>
      <c r="R90" s="2">
        <v>20576</v>
      </c>
      <c r="S90" s="3">
        <v>318</v>
      </c>
      <c r="T90" s="3">
        <f t="shared" si="1"/>
        <v>308.03509670868226</v>
      </c>
      <c r="U90" s="3"/>
    </row>
    <row r="91" spans="1:21" x14ac:dyDescent="0.3">
      <c r="A91" s="2">
        <v>20607</v>
      </c>
      <c r="B91" s="3">
        <v>374</v>
      </c>
      <c r="D91" s="3">
        <v>1</v>
      </c>
      <c r="E91" s="3">
        <v>374</v>
      </c>
      <c r="F91" s="3">
        <v>413</v>
      </c>
      <c r="G91" s="3">
        <v>405</v>
      </c>
      <c r="H91" s="3">
        <v>355</v>
      </c>
      <c r="I91" s="3">
        <v>306</v>
      </c>
      <c r="J91" s="3">
        <v>271</v>
      </c>
      <c r="L91" s="3">
        <v>306</v>
      </c>
      <c r="N91" s="3">
        <f>SUMPRODUCT(D91:J91,$D$144:$J$144)</f>
        <v>281.3023063128212</v>
      </c>
      <c r="O91" s="3">
        <f>SUMPRODUCT(D91:J91,$D$145:$J$145)</f>
        <v>281.30097114103876</v>
      </c>
      <c r="R91" s="2">
        <v>20607</v>
      </c>
      <c r="S91" s="3">
        <v>374</v>
      </c>
      <c r="T91" s="3">
        <f t="shared" si="1"/>
        <v>320.45603191018438</v>
      </c>
      <c r="U91" s="3"/>
    </row>
    <row r="92" spans="1:21" x14ac:dyDescent="0.3">
      <c r="A92" s="2">
        <v>20637</v>
      </c>
      <c r="B92" s="3">
        <v>413</v>
      </c>
      <c r="D92" s="3">
        <v>1</v>
      </c>
      <c r="E92" s="3">
        <v>413</v>
      </c>
      <c r="F92" s="3">
        <v>405</v>
      </c>
      <c r="G92" s="3">
        <v>355</v>
      </c>
      <c r="H92" s="3">
        <v>306</v>
      </c>
      <c r="I92" s="3">
        <v>271</v>
      </c>
      <c r="J92" s="3">
        <v>306</v>
      </c>
      <c r="L92" s="3">
        <v>315</v>
      </c>
      <c r="N92" s="3">
        <f>SUMPRODUCT(D92:J92,$D$144:$J$144)</f>
        <v>342.64433550915982</v>
      </c>
      <c r="O92" s="3">
        <f>SUMPRODUCT(D92:J92,$D$145:$J$145)</f>
        <v>342.64612142878218</v>
      </c>
      <c r="R92" s="2">
        <v>20637</v>
      </c>
      <c r="S92" s="3">
        <v>413</v>
      </c>
      <c r="T92" s="3">
        <f t="shared" si="1"/>
        <v>379.5381865356797</v>
      </c>
      <c r="U92" s="3"/>
    </row>
    <row r="93" spans="1:21" x14ac:dyDescent="0.3">
      <c r="A93" s="2">
        <v>20668</v>
      </c>
      <c r="B93" s="3">
        <v>405</v>
      </c>
      <c r="D93" s="3">
        <v>1</v>
      </c>
      <c r="E93" s="3">
        <v>405</v>
      </c>
      <c r="F93" s="3">
        <v>355</v>
      </c>
      <c r="G93" s="3">
        <v>306</v>
      </c>
      <c r="H93" s="3">
        <v>271</v>
      </c>
      <c r="I93" s="3">
        <v>306</v>
      </c>
      <c r="J93" s="3">
        <v>315</v>
      </c>
      <c r="L93" s="3">
        <v>301</v>
      </c>
      <c r="N93" s="3">
        <f>SUMPRODUCT(D93:J93,$D$144:$J$144)</f>
        <v>326.35645484191622</v>
      </c>
      <c r="O93" s="3">
        <f>SUMPRODUCT(D93:J93,$D$145:$J$145)</f>
        <v>326.35494322624356</v>
      </c>
      <c r="R93" s="2">
        <v>20668</v>
      </c>
      <c r="S93" s="3">
        <v>405</v>
      </c>
      <c r="T93" s="3">
        <f t="shared" si="1"/>
        <v>417.36852506168429</v>
      </c>
      <c r="U93" s="3"/>
    </row>
    <row r="94" spans="1:21" x14ac:dyDescent="0.3">
      <c r="A94" s="2">
        <v>20699</v>
      </c>
      <c r="B94" s="3">
        <v>355</v>
      </c>
      <c r="D94" s="3">
        <v>1</v>
      </c>
      <c r="E94" s="3">
        <v>355</v>
      </c>
      <c r="F94" s="3">
        <v>306</v>
      </c>
      <c r="G94" s="3">
        <v>271</v>
      </c>
      <c r="H94" s="3">
        <v>306</v>
      </c>
      <c r="I94" s="3">
        <v>315</v>
      </c>
      <c r="J94" s="3">
        <v>301</v>
      </c>
      <c r="L94" s="3">
        <v>356</v>
      </c>
      <c r="N94" s="3">
        <f>SUMPRODUCT(D94:J94,$D$144:$J$144)</f>
        <v>300.08015653748743</v>
      </c>
      <c r="O94" s="3">
        <f>SUMPRODUCT(D94:J94,$D$145:$J$145)</f>
        <v>300.07637302973319</v>
      </c>
      <c r="R94" s="2">
        <v>20699</v>
      </c>
      <c r="S94" s="3">
        <v>355</v>
      </c>
      <c r="T94" s="3">
        <f t="shared" si="1"/>
        <v>388.00758089722115</v>
      </c>
      <c r="U94" s="3"/>
    </row>
    <row r="95" spans="1:21" x14ac:dyDescent="0.3">
      <c r="A95" s="2">
        <v>20729</v>
      </c>
      <c r="B95" s="3">
        <v>306</v>
      </c>
      <c r="D95" s="3">
        <v>1</v>
      </c>
      <c r="E95" s="3">
        <v>306</v>
      </c>
      <c r="F95" s="3">
        <v>271</v>
      </c>
      <c r="G95" s="3">
        <v>306</v>
      </c>
      <c r="H95" s="3">
        <v>315</v>
      </c>
      <c r="I95" s="3">
        <v>301</v>
      </c>
      <c r="J95" s="3">
        <v>356</v>
      </c>
      <c r="L95" s="3">
        <v>348</v>
      </c>
      <c r="N95" s="3">
        <f>SUMPRODUCT(D95:J95,$D$144:$J$144)</f>
        <v>363.39914716983725</v>
      </c>
      <c r="O95" s="3">
        <f>SUMPRODUCT(D95:J95,$D$145:$J$145)</f>
        <v>363.40079279831315</v>
      </c>
      <c r="R95" s="2">
        <v>20729</v>
      </c>
      <c r="S95" s="3">
        <v>306</v>
      </c>
      <c r="T95" s="3">
        <f t="shared" si="1"/>
        <v>323.13395174473465</v>
      </c>
      <c r="U95" s="3"/>
    </row>
    <row r="96" spans="1:21" x14ac:dyDescent="0.3">
      <c r="A96" s="2">
        <v>20760</v>
      </c>
      <c r="B96" s="3">
        <v>271</v>
      </c>
      <c r="D96" s="3">
        <v>1</v>
      </c>
      <c r="E96" s="3">
        <v>271</v>
      </c>
      <c r="F96" s="3">
        <v>306</v>
      </c>
      <c r="G96" s="3">
        <v>315</v>
      </c>
      <c r="H96" s="3">
        <v>301</v>
      </c>
      <c r="I96" s="3">
        <v>356</v>
      </c>
      <c r="J96" s="3">
        <v>348</v>
      </c>
      <c r="L96" s="3">
        <v>355</v>
      </c>
      <c r="N96" s="3">
        <f>SUMPRODUCT(D96:J96,$D$144:$J$144)</f>
        <v>337.61545470240003</v>
      </c>
      <c r="O96" s="3">
        <f>SUMPRODUCT(D96:J96,$D$145:$J$145)</f>
        <v>337.61768535828901</v>
      </c>
      <c r="R96" s="2">
        <v>20760</v>
      </c>
      <c r="S96" s="3">
        <v>271</v>
      </c>
      <c r="T96" s="3">
        <f t="shared" si="1"/>
        <v>295.70949741434697</v>
      </c>
      <c r="U96" s="3"/>
    </row>
    <row r="97" spans="1:21" x14ac:dyDescent="0.3">
      <c r="A97" s="2">
        <v>20790</v>
      </c>
      <c r="B97" s="3">
        <v>306</v>
      </c>
      <c r="D97" s="3">
        <v>1</v>
      </c>
      <c r="E97" s="3">
        <v>306</v>
      </c>
      <c r="F97" s="3">
        <v>315</v>
      </c>
      <c r="G97" s="3">
        <v>301</v>
      </c>
      <c r="H97" s="3">
        <v>356</v>
      </c>
      <c r="I97" s="3">
        <v>348</v>
      </c>
      <c r="J97" s="3">
        <v>355</v>
      </c>
      <c r="L97" s="3">
        <v>422</v>
      </c>
      <c r="N97" s="3">
        <f>SUMPRODUCT(D97:J97,$D$144:$J$144)</f>
        <v>358.55309047102918</v>
      </c>
      <c r="O97" s="3">
        <f>SUMPRODUCT(D97:J97,$D$145:$J$145)</f>
        <v>358.55406084711467</v>
      </c>
      <c r="R97" s="2">
        <v>20790</v>
      </c>
      <c r="S97" s="3">
        <v>306</v>
      </c>
      <c r="T97" s="3">
        <f t="shared" si="1"/>
        <v>281.30097114103876</v>
      </c>
      <c r="U97" s="3"/>
    </row>
    <row r="98" spans="1:21" x14ac:dyDescent="0.3">
      <c r="A98" s="2">
        <v>20821</v>
      </c>
      <c r="B98" s="3">
        <v>315</v>
      </c>
      <c r="D98" s="3">
        <v>1</v>
      </c>
      <c r="E98" s="3">
        <v>315</v>
      </c>
      <c r="F98" s="3">
        <v>301</v>
      </c>
      <c r="G98" s="3">
        <v>356</v>
      </c>
      <c r="H98" s="3">
        <v>348</v>
      </c>
      <c r="I98" s="3">
        <v>355</v>
      </c>
      <c r="J98" s="3">
        <v>422</v>
      </c>
      <c r="L98" s="3">
        <v>465</v>
      </c>
      <c r="N98" s="3">
        <f>SUMPRODUCT(D98:J98,$D$144:$J$144)</f>
        <v>425.14537786119189</v>
      </c>
      <c r="O98" s="3">
        <f>SUMPRODUCT(D98:J98,$D$145:$J$145)</f>
        <v>425.14961653046834</v>
      </c>
      <c r="R98" s="2">
        <v>20821</v>
      </c>
      <c r="S98" s="3">
        <v>315</v>
      </c>
      <c r="T98" s="3">
        <f t="shared" si="1"/>
        <v>342.64612142878218</v>
      </c>
      <c r="U98" s="3"/>
    </row>
    <row r="99" spans="1:21" x14ac:dyDescent="0.3">
      <c r="A99" s="2">
        <v>20852</v>
      </c>
      <c r="B99" s="3">
        <v>301</v>
      </c>
      <c r="D99" s="3">
        <v>1</v>
      </c>
      <c r="E99" s="3">
        <v>301</v>
      </c>
      <c r="F99" s="3">
        <v>356</v>
      </c>
      <c r="G99" s="3">
        <v>348</v>
      </c>
      <c r="H99" s="3">
        <v>355</v>
      </c>
      <c r="I99" s="3">
        <v>422</v>
      </c>
      <c r="J99" s="3">
        <v>465</v>
      </c>
      <c r="L99" s="3">
        <v>467</v>
      </c>
      <c r="N99" s="3">
        <f>SUMPRODUCT(D99:J99,$D$144:$J$144)</f>
        <v>469.17455421682052</v>
      </c>
      <c r="O99" s="3">
        <f>SUMPRODUCT(D99:J99,$D$145:$J$145)</f>
        <v>469.18249895795469</v>
      </c>
      <c r="R99" s="2">
        <v>20852</v>
      </c>
      <c r="S99" s="3">
        <v>301</v>
      </c>
      <c r="T99" s="3">
        <f t="shared" si="1"/>
        <v>326.35494322624356</v>
      </c>
      <c r="U99" s="3"/>
    </row>
    <row r="100" spans="1:21" x14ac:dyDescent="0.3">
      <c r="A100" s="2">
        <v>20880</v>
      </c>
      <c r="B100" s="3">
        <v>356</v>
      </c>
      <c r="D100" s="3">
        <v>1</v>
      </c>
      <c r="E100" s="3">
        <v>356</v>
      </c>
      <c r="F100" s="3">
        <v>348</v>
      </c>
      <c r="G100" s="3">
        <v>355</v>
      </c>
      <c r="H100" s="3">
        <v>422</v>
      </c>
      <c r="I100" s="3">
        <v>465</v>
      </c>
      <c r="J100" s="3">
        <v>467</v>
      </c>
      <c r="L100" s="3">
        <v>404</v>
      </c>
      <c r="N100" s="3">
        <f>SUMPRODUCT(D100:J100,$D$144:$J$144)</f>
        <v>448.93398669271733</v>
      </c>
      <c r="O100" s="3">
        <f>SUMPRODUCT(D100:J100,$D$145:$J$145)</f>
        <v>448.9346670602431</v>
      </c>
      <c r="R100" s="2">
        <v>20880</v>
      </c>
      <c r="S100" s="3">
        <v>356</v>
      </c>
      <c r="T100" s="3">
        <f t="shared" si="1"/>
        <v>300.07637302973319</v>
      </c>
      <c r="U100" s="3"/>
    </row>
    <row r="101" spans="1:21" x14ac:dyDescent="0.3">
      <c r="A101" s="2">
        <v>20911</v>
      </c>
      <c r="B101" s="3">
        <v>348</v>
      </c>
      <c r="D101" s="3">
        <v>1</v>
      </c>
      <c r="E101" s="3">
        <v>348</v>
      </c>
      <c r="F101" s="3">
        <v>355</v>
      </c>
      <c r="G101" s="3">
        <v>422</v>
      </c>
      <c r="H101" s="3">
        <v>465</v>
      </c>
      <c r="I101" s="3">
        <v>467</v>
      </c>
      <c r="J101" s="3">
        <v>404</v>
      </c>
      <c r="L101" s="3">
        <v>347</v>
      </c>
      <c r="N101" s="3">
        <f>SUMPRODUCT(D101:J101,$D$144:$J$144)</f>
        <v>361.82481897682135</v>
      </c>
      <c r="O101" s="3">
        <f>SUMPRODUCT(D101:J101,$D$145:$J$145)</f>
        <v>361.82026560038958</v>
      </c>
      <c r="R101" s="2">
        <v>20911</v>
      </c>
      <c r="S101" s="3">
        <v>348</v>
      </c>
      <c r="T101" s="3">
        <f t="shared" si="1"/>
        <v>363.40079279831315</v>
      </c>
      <c r="U101" s="3"/>
    </row>
    <row r="102" spans="1:21" x14ac:dyDescent="0.3">
      <c r="A102" s="2">
        <v>20941</v>
      </c>
      <c r="B102" s="3">
        <v>355</v>
      </c>
      <c r="D102" s="3">
        <v>1</v>
      </c>
      <c r="E102" s="3">
        <v>355</v>
      </c>
      <c r="F102" s="3">
        <v>422</v>
      </c>
      <c r="G102" s="3">
        <v>465</v>
      </c>
      <c r="H102" s="3">
        <v>467</v>
      </c>
      <c r="I102" s="3">
        <v>404</v>
      </c>
      <c r="J102" s="3">
        <v>347</v>
      </c>
      <c r="L102" s="3">
        <v>305</v>
      </c>
      <c r="N102" s="3">
        <f>SUMPRODUCT(D102:J102,$D$144:$J$144)</f>
        <v>334.25403992298192</v>
      </c>
      <c r="O102" s="3">
        <f>SUMPRODUCT(D102:J102,$D$145:$J$145)</f>
        <v>334.25239652756284</v>
      </c>
      <c r="R102" s="2">
        <v>20941</v>
      </c>
      <c r="S102" s="3">
        <v>355</v>
      </c>
      <c r="T102" s="3">
        <f t="shared" si="1"/>
        <v>337.61768535828901</v>
      </c>
      <c r="U102" s="3"/>
    </row>
    <row r="103" spans="1:21" x14ac:dyDescent="0.3">
      <c r="A103" s="2">
        <v>20972</v>
      </c>
      <c r="B103" s="3">
        <v>422</v>
      </c>
      <c r="D103" s="3">
        <v>1</v>
      </c>
      <c r="E103" s="3">
        <v>422</v>
      </c>
      <c r="F103" s="3">
        <v>465</v>
      </c>
      <c r="G103" s="3">
        <v>467</v>
      </c>
      <c r="H103" s="3">
        <v>404</v>
      </c>
      <c r="I103" s="3">
        <v>347</v>
      </c>
      <c r="J103" s="3">
        <v>305</v>
      </c>
      <c r="L103" s="3">
        <v>336</v>
      </c>
      <c r="N103" s="3">
        <f>SUMPRODUCT(D103:J103,$D$144:$J$144)</f>
        <v>312.46370190094444</v>
      </c>
      <c r="O103" s="3">
        <f>SUMPRODUCT(D103:J103,$D$145:$J$145)</f>
        <v>312.4620282867275</v>
      </c>
      <c r="R103" s="2">
        <v>20972</v>
      </c>
      <c r="S103" s="3">
        <v>422</v>
      </c>
      <c r="T103" s="3">
        <f t="shared" si="1"/>
        <v>358.55406084711467</v>
      </c>
      <c r="U103" s="3"/>
    </row>
    <row r="104" spans="1:21" x14ac:dyDescent="0.3">
      <c r="A104" s="2">
        <v>21002</v>
      </c>
      <c r="B104" s="3">
        <v>465</v>
      </c>
      <c r="D104" s="3">
        <v>1</v>
      </c>
      <c r="E104" s="3">
        <v>465</v>
      </c>
      <c r="F104" s="3">
        <v>467</v>
      </c>
      <c r="G104" s="3">
        <v>404</v>
      </c>
      <c r="H104" s="3">
        <v>347</v>
      </c>
      <c r="I104" s="3">
        <v>305</v>
      </c>
      <c r="J104" s="3">
        <v>336</v>
      </c>
      <c r="L104" s="3">
        <v>340</v>
      </c>
      <c r="N104" s="3">
        <f>SUMPRODUCT(D104:J104,$D$144:$J$144)</f>
        <v>376.85166865276301</v>
      </c>
      <c r="O104" s="3">
        <f>SUMPRODUCT(D104:J104,$D$145:$J$145)</f>
        <v>376.85383160657636</v>
      </c>
      <c r="R104" s="2">
        <v>21002</v>
      </c>
      <c r="S104" s="3">
        <v>465</v>
      </c>
      <c r="T104" s="3">
        <f t="shared" si="1"/>
        <v>425.14961653046834</v>
      </c>
      <c r="U104" s="3"/>
    </row>
    <row r="105" spans="1:21" x14ac:dyDescent="0.3">
      <c r="A105" s="2">
        <v>21033</v>
      </c>
      <c r="B105" s="3">
        <v>467</v>
      </c>
      <c r="D105" s="3">
        <v>1</v>
      </c>
      <c r="E105" s="3">
        <v>467</v>
      </c>
      <c r="F105" s="3">
        <v>404</v>
      </c>
      <c r="G105" s="3">
        <v>347</v>
      </c>
      <c r="H105" s="3">
        <v>305</v>
      </c>
      <c r="I105" s="3">
        <v>336</v>
      </c>
      <c r="J105" s="3">
        <v>340</v>
      </c>
      <c r="L105" s="3">
        <v>318</v>
      </c>
      <c r="N105" s="3">
        <f>SUMPRODUCT(D105:J105,$D$144:$J$144)</f>
        <v>351.84587907419257</v>
      </c>
      <c r="O105" s="3">
        <f>SUMPRODUCT(D105:J105,$D$145:$J$145)</f>
        <v>351.84332227904997</v>
      </c>
      <c r="R105" s="2">
        <v>21033</v>
      </c>
      <c r="S105" s="3">
        <v>467</v>
      </c>
      <c r="T105" s="3">
        <f t="shared" si="1"/>
        <v>469.18249895795469</v>
      </c>
      <c r="U105" s="3"/>
    </row>
    <row r="106" spans="1:21" x14ac:dyDescent="0.3">
      <c r="A106" s="2">
        <v>21064</v>
      </c>
      <c r="B106" s="3">
        <v>404</v>
      </c>
      <c r="D106" s="3">
        <v>1</v>
      </c>
      <c r="E106" s="3">
        <v>404</v>
      </c>
      <c r="F106" s="3">
        <v>347</v>
      </c>
      <c r="G106" s="3">
        <v>305</v>
      </c>
      <c r="H106" s="3">
        <v>336</v>
      </c>
      <c r="I106" s="3">
        <v>340</v>
      </c>
      <c r="J106" s="3">
        <v>318</v>
      </c>
      <c r="L106" s="3">
        <v>362</v>
      </c>
      <c r="N106" s="3">
        <f>SUMPRODUCT(D106:J106,$D$144:$J$144)</f>
        <v>316.81639724032175</v>
      </c>
      <c r="O106" s="3">
        <f>SUMPRODUCT(D106:J106,$D$145:$J$145)</f>
        <v>316.81158058465496</v>
      </c>
      <c r="R106" s="2">
        <v>21064</v>
      </c>
      <c r="S106" s="3">
        <v>404</v>
      </c>
      <c r="T106" s="3">
        <f t="shared" si="1"/>
        <v>448.9346670602431</v>
      </c>
      <c r="U106" s="3"/>
    </row>
    <row r="107" spans="1:21" x14ac:dyDescent="0.3">
      <c r="A107" s="2">
        <v>21094</v>
      </c>
      <c r="B107" s="3">
        <v>347</v>
      </c>
      <c r="D107" s="3">
        <v>1</v>
      </c>
      <c r="E107" s="3">
        <v>347</v>
      </c>
      <c r="F107" s="3">
        <v>305</v>
      </c>
      <c r="G107" s="3">
        <v>336</v>
      </c>
      <c r="H107" s="3">
        <v>340</v>
      </c>
      <c r="I107" s="3">
        <v>318</v>
      </c>
      <c r="J107" s="3">
        <v>362</v>
      </c>
      <c r="L107" s="3">
        <v>348</v>
      </c>
      <c r="N107" s="3">
        <f>SUMPRODUCT(D107:J107,$D$144:$J$144)</f>
        <v>368.37967634725391</v>
      </c>
      <c r="O107" s="3">
        <f>SUMPRODUCT(D107:J107,$D$145:$J$145)</f>
        <v>368.38001569575079</v>
      </c>
      <c r="R107" s="2">
        <v>21094</v>
      </c>
      <c r="S107" s="3">
        <v>347</v>
      </c>
      <c r="T107" s="3">
        <f t="shared" si="1"/>
        <v>361.82026560038958</v>
      </c>
      <c r="U107" s="3"/>
    </row>
    <row r="108" spans="1:21" x14ac:dyDescent="0.3">
      <c r="A108" s="2">
        <v>21125</v>
      </c>
      <c r="B108" s="3">
        <v>305</v>
      </c>
      <c r="D108" s="3">
        <v>1</v>
      </c>
      <c r="E108" s="3">
        <v>305</v>
      </c>
      <c r="F108" s="3">
        <v>336</v>
      </c>
      <c r="G108" s="3">
        <v>340</v>
      </c>
      <c r="H108" s="3">
        <v>318</v>
      </c>
      <c r="I108" s="3">
        <v>362</v>
      </c>
      <c r="J108" s="3">
        <v>348</v>
      </c>
      <c r="L108" s="3">
        <v>363</v>
      </c>
      <c r="N108" s="3">
        <f>SUMPRODUCT(D108:J108,$D$144:$J$144)</f>
        <v>339.58710023108267</v>
      </c>
      <c r="O108" s="3">
        <f>SUMPRODUCT(D108:J108,$D$145:$J$145)</f>
        <v>339.58851419314544</v>
      </c>
      <c r="R108" s="2">
        <v>21125</v>
      </c>
      <c r="S108" s="3">
        <v>305</v>
      </c>
      <c r="T108" s="3">
        <f t="shared" si="1"/>
        <v>334.25239652756284</v>
      </c>
      <c r="U108" s="3"/>
    </row>
    <row r="109" spans="1:21" x14ac:dyDescent="0.3">
      <c r="A109" s="2">
        <v>21155</v>
      </c>
      <c r="B109" s="3">
        <v>336</v>
      </c>
      <c r="D109" s="3">
        <v>1</v>
      </c>
      <c r="E109" s="3">
        <v>336</v>
      </c>
      <c r="F109" s="3">
        <v>340</v>
      </c>
      <c r="G109" s="3">
        <v>318</v>
      </c>
      <c r="H109" s="3">
        <v>362</v>
      </c>
      <c r="I109" s="3">
        <v>348</v>
      </c>
      <c r="J109" s="3">
        <v>363</v>
      </c>
      <c r="L109" s="3">
        <v>435</v>
      </c>
      <c r="N109" s="3">
        <f>SUMPRODUCT(D109:J109,$D$144:$J$144)</f>
        <v>372.76082109431377</v>
      </c>
      <c r="O109" s="3">
        <f>SUMPRODUCT(D109:J109,$D$145:$J$145)</f>
        <v>372.76209629040932</v>
      </c>
      <c r="R109" s="2">
        <v>21155</v>
      </c>
      <c r="S109" s="3">
        <v>336</v>
      </c>
      <c r="T109" s="3">
        <f t="shared" si="1"/>
        <v>312.4620282867275</v>
      </c>
      <c r="U109" s="3"/>
    </row>
    <row r="110" spans="1:21" x14ac:dyDescent="0.3">
      <c r="A110" s="2">
        <v>21186</v>
      </c>
      <c r="B110" s="3">
        <v>340</v>
      </c>
      <c r="D110" s="3">
        <v>1</v>
      </c>
      <c r="E110" s="3">
        <v>340</v>
      </c>
      <c r="F110" s="3">
        <v>318</v>
      </c>
      <c r="G110" s="3">
        <v>362</v>
      </c>
      <c r="H110" s="3">
        <v>348</v>
      </c>
      <c r="I110" s="3">
        <v>363</v>
      </c>
      <c r="J110" s="3">
        <v>435</v>
      </c>
      <c r="L110" s="3">
        <v>491</v>
      </c>
      <c r="N110" s="3">
        <f>SUMPRODUCT(D110:J110,$D$144:$J$144)</f>
        <v>440.92039284419161</v>
      </c>
      <c r="O110" s="3">
        <f>SUMPRODUCT(D110:J110,$D$145:$J$145)</f>
        <v>440.92478746452622</v>
      </c>
      <c r="R110" s="2">
        <v>21186</v>
      </c>
      <c r="S110" s="3">
        <v>340</v>
      </c>
      <c r="T110" s="3">
        <f t="shared" si="1"/>
        <v>376.85383160657636</v>
      </c>
      <c r="U110" s="3"/>
    </row>
    <row r="111" spans="1:21" x14ac:dyDescent="0.3">
      <c r="A111" s="2">
        <v>21217</v>
      </c>
      <c r="B111" s="3">
        <v>318</v>
      </c>
      <c r="D111" s="3">
        <v>1</v>
      </c>
      <c r="E111" s="3">
        <v>318</v>
      </c>
      <c r="F111" s="3">
        <v>362</v>
      </c>
      <c r="G111" s="3">
        <v>348</v>
      </c>
      <c r="H111" s="3">
        <v>363</v>
      </c>
      <c r="I111" s="3">
        <v>435</v>
      </c>
      <c r="J111" s="3">
        <v>491</v>
      </c>
      <c r="L111" s="3">
        <v>505</v>
      </c>
      <c r="N111" s="3">
        <f>SUMPRODUCT(D111:J111,$D$144:$J$144)</f>
        <v>497.76164088071476</v>
      </c>
      <c r="O111" s="3">
        <f>SUMPRODUCT(D111:J111,$D$145:$J$145)</f>
        <v>497.77012623872349</v>
      </c>
      <c r="R111" s="2">
        <v>21217</v>
      </c>
      <c r="S111" s="3">
        <v>318</v>
      </c>
      <c r="T111" s="3">
        <f t="shared" si="1"/>
        <v>351.84332227904997</v>
      </c>
      <c r="U111" s="3"/>
    </row>
    <row r="112" spans="1:21" x14ac:dyDescent="0.3">
      <c r="A112" s="2">
        <v>21245</v>
      </c>
      <c r="B112" s="3">
        <v>362</v>
      </c>
      <c r="D112" s="3">
        <v>1</v>
      </c>
      <c r="E112" s="3">
        <v>362</v>
      </c>
      <c r="F112" s="3">
        <v>348</v>
      </c>
      <c r="G112" s="3">
        <v>363</v>
      </c>
      <c r="H112" s="3">
        <v>435</v>
      </c>
      <c r="I112" s="3">
        <v>491</v>
      </c>
      <c r="J112" s="3">
        <v>505</v>
      </c>
      <c r="L112" s="3">
        <v>404</v>
      </c>
      <c r="N112" s="3">
        <f>SUMPRODUCT(D112:J112,$D$144:$J$144)</f>
        <v>484.26110150470936</v>
      </c>
      <c r="O112" s="3">
        <f>SUMPRODUCT(D112:J112,$D$145:$J$145)</f>
        <v>484.2626243027064</v>
      </c>
      <c r="R112" s="2">
        <v>21245</v>
      </c>
      <c r="S112" s="3">
        <v>362</v>
      </c>
      <c r="T112" s="3">
        <f t="shared" si="1"/>
        <v>316.81158058465496</v>
      </c>
      <c r="U112" s="3"/>
    </row>
    <row r="113" spans="1:21" x14ac:dyDescent="0.3">
      <c r="A113" s="2">
        <v>21276</v>
      </c>
      <c r="B113" s="3">
        <v>348</v>
      </c>
      <c r="D113" s="3">
        <v>1</v>
      </c>
      <c r="E113" s="3">
        <v>348</v>
      </c>
      <c r="F113" s="3">
        <v>363</v>
      </c>
      <c r="G113" s="3">
        <v>435</v>
      </c>
      <c r="H113" s="3">
        <v>491</v>
      </c>
      <c r="I113" s="3">
        <v>505</v>
      </c>
      <c r="J113" s="3">
        <v>404</v>
      </c>
      <c r="L113" s="3">
        <v>359</v>
      </c>
      <c r="N113" s="3">
        <f>SUMPRODUCT(D113:J113,$D$144:$J$144)</f>
        <v>345.90519389364488</v>
      </c>
      <c r="O113" s="3">
        <f>SUMPRODUCT(D113:J113,$D$145:$J$145)</f>
        <v>345.89840089105098</v>
      </c>
      <c r="R113" s="2">
        <v>21276</v>
      </c>
      <c r="S113" s="3">
        <v>348</v>
      </c>
      <c r="T113" s="3">
        <f t="shared" si="1"/>
        <v>368.38001569575079</v>
      </c>
      <c r="U113" s="3"/>
    </row>
    <row r="114" spans="1:21" x14ac:dyDescent="0.3">
      <c r="A114" s="2">
        <v>21306</v>
      </c>
      <c r="B114" s="3">
        <v>363</v>
      </c>
      <c r="D114" s="3">
        <v>1</v>
      </c>
      <c r="E114" s="3">
        <v>363</v>
      </c>
      <c r="F114" s="3">
        <v>435</v>
      </c>
      <c r="G114" s="3">
        <v>491</v>
      </c>
      <c r="H114" s="3">
        <v>505</v>
      </c>
      <c r="I114" s="3">
        <v>404</v>
      </c>
      <c r="J114" s="3">
        <v>359</v>
      </c>
      <c r="L114" s="3">
        <v>310</v>
      </c>
      <c r="N114" s="3">
        <f>SUMPRODUCT(D114:J114,$D$144:$J$144)</f>
        <v>352.19403113822875</v>
      </c>
      <c r="O114" s="3">
        <f>SUMPRODUCT(D114:J114,$D$145:$J$145)</f>
        <v>352.1929428765967</v>
      </c>
      <c r="R114" s="2">
        <v>21306</v>
      </c>
      <c r="S114" s="3">
        <v>363</v>
      </c>
      <c r="T114" s="3">
        <f t="shared" si="1"/>
        <v>339.58851419314544</v>
      </c>
      <c r="U114" s="3"/>
    </row>
    <row r="115" spans="1:21" x14ac:dyDescent="0.3">
      <c r="A115" s="2">
        <v>21337</v>
      </c>
      <c r="B115" s="3">
        <v>435</v>
      </c>
      <c r="D115" s="3">
        <v>1</v>
      </c>
      <c r="E115" s="3">
        <v>435</v>
      </c>
      <c r="F115" s="3">
        <v>491</v>
      </c>
      <c r="G115" s="3">
        <v>505</v>
      </c>
      <c r="H115" s="3">
        <v>404</v>
      </c>
      <c r="I115" s="3">
        <v>359</v>
      </c>
      <c r="J115" s="3">
        <v>310</v>
      </c>
      <c r="L115" s="3">
        <v>337</v>
      </c>
      <c r="N115" s="3">
        <f>SUMPRODUCT(D115:J115,$D$144:$J$144)</f>
        <v>314.14123980132666</v>
      </c>
      <c r="O115" s="3">
        <f>SUMPRODUCT(D115:J115,$D$145:$J$145)</f>
        <v>314.13996265516181</v>
      </c>
      <c r="R115" s="2">
        <v>21337</v>
      </c>
      <c r="S115" s="3">
        <v>435</v>
      </c>
      <c r="T115" s="3">
        <f t="shared" si="1"/>
        <v>372.76209629040932</v>
      </c>
      <c r="U115" s="3"/>
    </row>
    <row r="116" spans="1:21" x14ac:dyDescent="0.3">
      <c r="A116" s="2">
        <v>21367</v>
      </c>
      <c r="B116" s="3">
        <v>491</v>
      </c>
      <c r="D116" s="3">
        <v>1</v>
      </c>
      <c r="E116" s="3">
        <v>491</v>
      </c>
      <c r="F116" s="3">
        <v>505</v>
      </c>
      <c r="G116" s="3">
        <v>404</v>
      </c>
      <c r="H116" s="3">
        <v>359</v>
      </c>
      <c r="I116" s="3">
        <v>310</v>
      </c>
      <c r="J116" s="3">
        <v>337</v>
      </c>
      <c r="L116" s="3">
        <v>360</v>
      </c>
      <c r="N116" s="3">
        <f>SUMPRODUCT(D116:J116,$D$144:$J$144)</f>
        <v>387.88966800676639</v>
      </c>
      <c r="O116" s="3">
        <f>SUMPRODUCT(D116:J116,$D$145:$J$145)</f>
        <v>387.89235408100456</v>
      </c>
      <c r="R116" s="2">
        <v>21367</v>
      </c>
      <c r="S116" s="3">
        <v>491</v>
      </c>
      <c r="T116" s="3">
        <f t="shared" si="1"/>
        <v>440.92478746452622</v>
      </c>
      <c r="U116" s="3"/>
    </row>
    <row r="117" spans="1:21" x14ac:dyDescent="0.3">
      <c r="A117" s="2">
        <v>21398</v>
      </c>
      <c r="B117" s="3">
        <v>505</v>
      </c>
      <c r="D117" s="3">
        <v>1</v>
      </c>
      <c r="E117" s="3">
        <v>505</v>
      </c>
      <c r="F117" s="3">
        <v>404</v>
      </c>
      <c r="G117" s="3">
        <v>359</v>
      </c>
      <c r="H117" s="3">
        <v>310</v>
      </c>
      <c r="I117" s="3">
        <v>337</v>
      </c>
      <c r="J117" s="3">
        <v>360</v>
      </c>
      <c r="L117" s="3">
        <v>342</v>
      </c>
      <c r="N117" s="3">
        <f>SUMPRODUCT(D117:J117,$D$144:$J$144)</f>
        <v>372.74682776527396</v>
      </c>
      <c r="O117" s="3">
        <f>SUMPRODUCT(D117:J117,$D$145:$J$145)</f>
        <v>372.74342272688909</v>
      </c>
      <c r="R117" s="2">
        <v>21398</v>
      </c>
      <c r="S117" s="3">
        <v>505</v>
      </c>
      <c r="T117" s="3">
        <f t="shared" si="1"/>
        <v>497.77012623872349</v>
      </c>
      <c r="U117" s="3"/>
    </row>
    <row r="118" spans="1:21" x14ac:dyDescent="0.3">
      <c r="A118" s="2">
        <v>21429</v>
      </c>
      <c r="B118" s="3">
        <v>404</v>
      </c>
      <c r="D118" s="3">
        <v>1</v>
      </c>
      <c r="E118" s="3">
        <v>404</v>
      </c>
      <c r="F118" s="3">
        <v>359</v>
      </c>
      <c r="G118" s="3">
        <v>310</v>
      </c>
      <c r="H118" s="3">
        <v>337</v>
      </c>
      <c r="I118" s="3">
        <v>360</v>
      </c>
      <c r="J118" s="3">
        <v>342</v>
      </c>
      <c r="L118" s="3">
        <v>406</v>
      </c>
      <c r="N118" s="3">
        <f>SUMPRODUCT(D118:J118,$D$144:$J$144)</f>
        <v>341.07902810447177</v>
      </c>
      <c r="O118" s="3">
        <f>SUMPRODUCT(D118:J118,$D$145:$J$145)</f>
        <v>341.07564612565011</v>
      </c>
      <c r="R118" s="2">
        <v>21429</v>
      </c>
      <c r="S118" s="3">
        <v>404</v>
      </c>
      <c r="T118" s="3">
        <f t="shared" si="1"/>
        <v>484.2626243027064</v>
      </c>
      <c r="U118" s="3"/>
    </row>
    <row r="119" spans="1:21" x14ac:dyDescent="0.3">
      <c r="A119" s="2">
        <v>21459</v>
      </c>
      <c r="B119" s="3">
        <v>359</v>
      </c>
      <c r="D119" s="3">
        <v>1</v>
      </c>
      <c r="E119" s="3">
        <v>359</v>
      </c>
      <c r="F119" s="3">
        <v>310</v>
      </c>
      <c r="G119" s="3">
        <v>337</v>
      </c>
      <c r="H119" s="3">
        <v>360</v>
      </c>
      <c r="I119" s="3">
        <v>342</v>
      </c>
      <c r="J119" s="3">
        <v>406</v>
      </c>
      <c r="L119" s="3">
        <v>396</v>
      </c>
      <c r="N119" s="3">
        <f>SUMPRODUCT(D119:J119,$D$144:$J$144)</f>
        <v>415.54446322483994</v>
      </c>
      <c r="O119" s="3">
        <f>SUMPRODUCT(D119:J119,$D$145:$J$145)</f>
        <v>415.54613292484993</v>
      </c>
      <c r="R119" s="2">
        <v>21459</v>
      </c>
      <c r="S119" s="3">
        <v>359</v>
      </c>
      <c r="T119" s="3">
        <f t="shared" si="1"/>
        <v>345.89840089105098</v>
      </c>
      <c r="U119" s="3"/>
    </row>
    <row r="120" spans="1:21" x14ac:dyDescent="0.3">
      <c r="A120" s="2">
        <v>21490</v>
      </c>
      <c r="B120" s="3">
        <v>310</v>
      </c>
      <c r="D120" s="3">
        <v>1</v>
      </c>
      <c r="E120" s="3">
        <v>310</v>
      </c>
      <c r="F120" s="3">
        <v>337</v>
      </c>
      <c r="G120" s="3">
        <v>360</v>
      </c>
      <c r="H120" s="3">
        <v>342</v>
      </c>
      <c r="I120" s="3">
        <v>406</v>
      </c>
      <c r="J120" s="3">
        <v>396</v>
      </c>
      <c r="L120" s="3">
        <v>420</v>
      </c>
      <c r="N120" s="3">
        <f>SUMPRODUCT(D120:J120,$D$144:$J$144)</f>
        <v>378.15700300348556</v>
      </c>
      <c r="O120" s="3">
        <f>SUMPRODUCT(D120:J120,$D$145:$J$145)</f>
        <v>378.15885482386261</v>
      </c>
      <c r="R120" s="2">
        <v>21490</v>
      </c>
      <c r="S120" s="3">
        <v>310</v>
      </c>
      <c r="T120" s="3">
        <f t="shared" si="1"/>
        <v>352.1929428765967</v>
      </c>
      <c r="U120" s="3"/>
    </row>
    <row r="121" spans="1:21" x14ac:dyDescent="0.3">
      <c r="A121" s="2">
        <v>21520</v>
      </c>
      <c r="B121" s="3">
        <v>337</v>
      </c>
      <c r="D121" s="9">
        <v>1</v>
      </c>
      <c r="E121" s="9">
        <v>337</v>
      </c>
      <c r="F121" s="9">
        <v>360</v>
      </c>
      <c r="G121" s="9">
        <v>342</v>
      </c>
      <c r="H121" s="9">
        <v>406</v>
      </c>
      <c r="I121" s="9">
        <v>396</v>
      </c>
      <c r="J121" s="9">
        <v>420</v>
      </c>
      <c r="K121" s="10"/>
      <c r="L121" s="9">
        <v>472</v>
      </c>
      <c r="M121" s="10"/>
      <c r="N121" s="9">
        <f>SUMPRODUCT(D121:J121,$D$144:$J$144)</f>
        <v>428.67114536744907</v>
      </c>
      <c r="O121" s="9">
        <f>SUMPRODUCT(D121:J121,$D$145:$J$145)</f>
        <v>428.67444193569622</v>
      </c>
      <c r="R121" s="2">
        <v>21520</v>
      </c>
      <c r="S121" s="3">
        <v>337</v>
      </c>
      <c r="T121" s="3">
        <f t="shared" si="1"/>
        <v>314.13996265516181</v>
      </c>
      <c r="U121" s="3"/>
    </row>
    <row r="122" spans="1:21" x14ac:dyDescent="0.3">
      <c r="A122" s="2">
        <v>21551</v>
      </c>
      <c r="B122" s="3">
        <v>360</v>
      </c>
      <c r="D122" s="9">
        <v>1</v>
      </c>
      <c r="E122" s="9">
        <f t="shared" ref="E122:I133" si="2">F121</f>
        <v>360</v>
      </c>
      <c r="F122" s="9">
        <f t="shared" si="2"/>
        <v>342</v>
      </c>
      <c r="G122" s="9">
        <f t="shared" si="2"/>
        <v>406</v>
      </c>
      <c r="H122" s="9">
        <f t="shared" si="2"/>
        <v>396</v>
      </c>
      <c r="I122" s="9">
        <f t="shared" si="2"/>
        <v>420</v>
      </c>
      <c r="J122" s="9">
        <f>L121</f>
        <v>472</v>
      </c>
      <c r="K122" s="10"/>
      <c r="L122" s="9">
        <v>548</v>
      </c>
      <c r="M122" s="10"/>
      <c r="N122" s="9">
        <f>SUMPRODUCT(D122:J122,$D$144:$J$144)</f>
        <v>463.62365966576294</v>
      </c>
      <c r="O122" s="9">
        <f>SUMPRODUCT(D122:J122,$D$145:$J$145)</f>
        <v>463.62693933675178</v>
      </c>
      <c r="R122" s="2">
        <v>21551</v>
      </c>
      <c r="S122" s="3">
        <v>360</v>
      </c>
      <c r="T122" s="3">
        <f t="shared" si="1"/>
        <v>387.89235408100456</v>
      </c>
      <c r="U122" s="3"/>
    </row>
    <row r="123" spans="1:21" x14ac:dyDescent="0.3">
      <c r="A123" s="2">
        <v>21582</v>
      </c>
      <c r="B123" s="3">
        <v>342</v>
      </c>
      <c r="D123" s="9">
        <v>1</v>
      </c>
      <c r="E123" s="9">
        <f t="shared" si="2"/>
        <v>342</v>
      </c>
      <c r="F123" s="9">
        <f t="shared" si="2"/>
        <v>406</v>
      </c>
      <c r="G123" s="9">
        <f t="shared" si="2"/>
        <v>396</v>
      </c>
      <c r="H123" s="9">
        <f t="shared" si="2"/>
        <v>420</v>
      </c>
      <c r="I123" s="9">
        <f>J122</f>
        <v>472</v>
      </c>
      <c r="J123" s="9">
        <f>L122</f>
        <v>548</v>
      </c>
      <c r="K123" s="10"/>
      <c r="L123" s="9">
        <v>559</v>
      </c>
      <c r="M123" s="10"/>
      <c r="N123" s="9">
        <f>SUMPRODUCT(D123:J123,$D$144:$J$144)</f>
        <v>562.4889261637145</v>
      </c>
      <c r="O123" s="9">
        <f>SUMPRODUCT(D123:J123,$D$145:$J$145)</f>
        <v>562.49995253921566</v>
      </c>
      <c r="R123" s="2">
        <v>21582</v>
      </c>
      <c r="S123" s="3">
        <v>342</v>
      </c>
      <c r="T123" s="3">
        <f t="shared" si="1"/>
        <v>372.74342272688909</v>
      </c>
      <c r="U123" s="3"/>
    </row>
    <row r="124" spans="1:21" x14ac:dyDescent="0.3">
      <c r="A124" s="2">
        <v>21610</v>
      </c>
      <c r="B124" s="3">
        <v>406</v>
      </c>
      <c r="D124" s="9">
        <v>1</v>
      </c>
      <c r="E124" s="9">
        <f t="shared" si="2"/>
        <v>406</v>
      </c>
      <c r="F124" s="9">
        <f t="shared" si="2"/>
        <v>396</v>
      </c>
      <c r="G124" s="9">
        <f t="shared" si="2"/>
        <v>420</v>
      </c>
      <c r="H124" s="9">
        <f t="shared" si="2"/>
        <v>472</v>
      </c>
      <c r="I124" s="9">
        <f t="shared" si="2"/>
        <v>548</v>
      </c>
      <c r="J124" s="9">
        <f>L123</f>
        <v>559</v>
      </c>
      <c r="K124" s="10"/>
      <c r="L124" s="9">
        <v>463</v>
      </c>
      <c r="M124" s="10"/>
      <c r="N124" s="9">
        <f>SUMPRODUCT(D124:J124,$D$144:$J$144)</f>
        <v>532.00299681087904</v>
      </c>
      <c r="O124" s="9">
        <f>SUMPRODUCT(D124:J124,$D$145:$J$145)</f>
        <v>532.00500507568972</v>
      </c>
      <c r="R124" s="2">
        <v>21610</v>
      </c>
      <c r="S124" s="3">
        <v>406</v>
      </c>
      <c r="T124" s="3">
        <f t="shared" si="1"/>
        <v>341.07564612565011</v>
      </c>
      <c r="U124" s="3"/>
    </row>
    <row r="125" spans="1:21" x14ac:dyDescent="0.3">
      <c r="A125" s="2">
        <v>21641</v>
      </c>
      <c r="B125" s="3">
        <v>396</v>
      </c>
      <c r="D125" s="9">
        <v>1</v>
      </c>
      <c r="E125" s="9">
        <f t="shared" si="2"/>
        <v>396</v>
      </c>
      <c r="F125" s="9">
        <f t="shared" si="2"/>
        <v>420</v>
      </c>
      <c r="G125" s="9">
        <f t="shared" si="2"/>
        <v>472</v>
      </c>
      <c r="H125" s="9">
        <f t="shared" si="2"/>
        <v>548</v>
      </c>
      <c r="I125" s="9">
        <f t="shared" si="2"/>
        <v>559</v>
      </c>
      <c r="J125" s="9">
        <f>L124</f>
        <v>463</v>
      </c>
      <c r="K125" s="10"/>
      <c r="L125" s="9">
        <v>407</v>
      </c>
      <c r="M125" s="10"/>
      <c r="N125" s="9">
        <f>SUMPRODUCT(D125:J125,$D$144:$J$144)</f>
        <v>409.65549598013172</v>
      </c>
      <c r="O125" s="9">
        <f>SUMPRODUCT(D125:J125,$D$145:$J$145)</f>
        <v>409.64988946608452</v>
      </c>
      <c r="R125" s="2">
        <v>21641</v>
      </c>
      <c r="S125" s="3">
        <v>396</v>
      </c>
      <c r="T125" s="3">
        <f t="shared" si="1"/>
        <v>415.54613292484993</v>
      </c>
      <c r="U125" s="3"/>
    </row>
    <row r="126" spans="1:21" x14ac:dyDescent="0.3">
      <c r="A126" s="2">
        <v>21671</v>
      </c>
      <c r="B126" s="3">
        <v>420</v>
      </c>
      <c r="D126" s="9">
        <v>1</v>
      </c>
      <c r="E126" s="9">
        <f t="shared" si="2"/>
        <v>420</v>
      </c>
      <c r="F126" s="9">
        <f t="shared" si="2"/>
        <v>472</v>
      </c>
      <c r="G126" s="9">
        <f t="shared" si="2"/>
        <v>548</v>
      </c>
      <c r="H126" s="9">
        <f t="shared" si="2"/>
        <v>559</v>
      </c>
      <c r="I126" s="9">
        <f t="shared" si="2"/>
        <v>463</v>
      </c>
      <c r="J126" s="9">
        <f>L125</f>
        <v>407</v>
      </c>
      <c r="K126" s="10"/>
      <c r="L126" s="9">
        <v>362</v>
      </c>
      <c r="M126" s="10"/>
      <c r="N126" s="9">
        <f>SUMPRODUCT(D126:J126,$D$144:$J$144)</f>
        <v>388.1514093863513</v>
      </c>
      <c r="O126" s="9">
        <f>SUMPRODUCT(D126:J126,$D$145:$J$145)</f>
        <v>388.14846587975615</v>
      </c>
      <c r="R126" s="2">
        <v>21671</v>
      </c>
      <c r="S126" s="3">
        <v>420</v>
      </c>
      <c r="T126" s="3">
        <f t="shared" si="1"/>
        <v>378.15885482386261</v>
      </c>
      <c r="U126" s="3"/>
    </row>
    <row r="127" spans="1:21" x14ac:dyDescent="0.3">
      <c r="A127" s="2">
        <v>21702</v>
      </c>
      <c r="B127" s="3">
        <v>472</v>
      </c>
      <c r="D127" s="9">
        <v>1</v>
      </c>
      <c r="E127" s="9">
        <f t="shared" si="2"/>
        <v>472</v>
      </c>
      <c r="F127" s="9">
        <f t="shared" si="2"/>
        <v>548</v>
      </c>
      <c r="G127" s="9">
        <f t="shared" si="2"/>
        <v>559</v>
      </c>
      <c r="H127" s="9">
        <f t="shared" si="2"/>
        <v>463</v>
      </c>
      <c r="I127" s="9">
        <f t="shared" si="2"/>
        <v>407</v>
      </c>
      <c r="J127" s="9">
        <f>L126</f>
        <v>362</v>
      </c>
      <c r="K127" s="10"/>
      <c r="L127" s="9">
        <v>405</v>
      </c>
      <c r="M127" s="10"/>
      <c r="N127" s="9">
        <f>SUMPRODUCT(D127:J127,$D$144:$J$144)</f>
        <v>369.71301908233534</v>
      </c>
      <c r="O127" s="9">
        <f>SUMPRODUCT(D127:J127,$D$145:$J$145)</f>
        <v>369.71325074938443</v>
      </c>
      <c r="R127" s="2">
        <v>21702</v>
      </c>
      <c r="S127" s="3">
        <v>472</v>
      </c>
      <c r="T127" s="3">
        <f t="shared" si="1"/>
        <v>428.67444193569622</v>
      </c>
      <c r="U127" s="3"/>
    </row>
    <row r="128" spans="1:21" x14ac:dyDescent="0.3">
      <c r="A128" s="2">
        <v>21732</v>
      </c>
      <c r="B128" s="3">
        <v>548</v>
      </c>
      <c r="D128" s="12">
        <v>1</v>
      </c>
      <c r="E128" s="12">
        <f t="shared" ref="E128:J139" si="3">F127</f>
        <v>548</v>
      </c>
      <c r="F128" s="12">
        <f t="shared" si="3"/>
        <v>559</v>
      </c>
      <c r="G128" s="12">
        <f t="shared" si="3"/>
        <v>463</v>
      </c>
      <c r="H128" s="12">
        <f t="shared" si="3"/>
        <v>407</v>
      </c>
      <c r="I128" s="12">
        <f t="shared" si="3"/>
        <v>362</v>
      </c>
      <c r="J128" s="12">
        <f>O127</f>
        <v>369.71325074938443</v>
      </c>
      <c r="L128" s="12"/>
      <c r="N128" s="12">
        <f>SUMPRODUCT(D128:J128,$D$144:$J$144)</f>
        <v>412.54532591879149</v>
      </c>
      <c r="O128" s="12">
        <f>SUMPRODUCT(D128:J128,$D$145:$J$145)</f>
        <v>412.54655447187633</v>
      </c>
      <c r="R128" s="2">
        <v>21732</v>
      </c>
      <c r="S128" s="3">
        <v>548</v>
      </c>
      <c r="T128" s="3">
        <f t="shared" si="1"/>
        <v>463.62693933675178</v>
      </c>
      <c r="U128" s="3"/>
    </row>
    <row r="129" spans="1:21" x14ac:dyDescent="0.3">
      <c r="A129" s="2">
        <v>21763</v>
      </c>
      <c r="B129" s="3">
        <v>559</v>
      </c>
      <c r="D129" s="8">
        <v>1</v>
      </c>
      <c r="E129" s="8">
        <f t="shared" si="3"/>
        <v>559</v>
      </c>
      <c r="F129" s="8">
        <f t="shared" si="3"/>
        <v>463</v>
      </c>
      <c r="G129" s="8">
        <f t="shared" si="3"/>
        <v>407</v>
      </c>
      <c r="H129" s="8">
        <f t="shared" si="3"/>
        <v>362</v>
      </c>
      <c r="I129" s="8">
        <f>J128</f>
        <v>369.71325074938443</v>
      </c>
      <c r="J129" s="8">
        <f>O128</f>
        <v>412.54655447187633</v>
      </c>
      <c r="L129" s="8"/>
      <c r="N129" s="8">
        <f>SUMPRODUCT(D129:J129,$D$144:$J$144)</f>
        <v>436.49554401710856</v>
      </c>
      <c r="O129" s="8">
        <f>SUMPRODUCT(D129:J129,$D$145:$J$145)</f>
        <v>436.49388415072571</v>
      </c>
      <c r="R129" s="2">
        <v>21763</v>
      </c>
      <c r="S129" s="3">
        <v>559</v>
      </c>
      <c r="T129" s="3">
        <f t="shared" si="1"/>
        <v>562.49995253921566</v>
      </c>
      <c r="U129" s="3"/>
    </row>
    <row r="130" spans="1:21" x14ac:dyDescent="0.3">
      <c r="A130" s="2">
        <v>21794</v>
      </c>
      <c r="B130" s="3">
        <v>463</v>
      </c>
      <c r="D130" s="8">
        <v>1</v>
      </c>
      <c r="E130" s="8">
        <f t="shared" si="3"/>
        <v>463</v>
      </c>
      <c r="F130" s="8">
        <f t="shared" si="3"/>
        <v>407</v>
      </c>
      <c r="G130" s="8">
        <f t="shared" si="3"/>
        <v>362</v>
      </c>
      <c r="H130" s="8">
        <f t="shared" si="3"/>
        <v>369.71325074938443</v>
      </c>
      <c r="I130" s="8">
        <f t="shared" si="3"/>
        <v>412.54655447187633</v>
      </c>
      <c r="J130" s="8">
        <f t="shared" ref="J130:J139" si="4">O129</f>
        <v>436.49388415072571</v>
      </c>
      <c r="L130" s="8"/>
      <c r="N130" s="8">
        <f t="shared" ref="N130:N139" si="5">SUMPRODUCT(D130:J130,$D$144:$J$144)</f>
        <v>442.45074103516566</v>
      </c>
      <c r="O130" s="8">
        <f t="shared" ref="O130:O139" si="6">SUMPRODUCT(D130:J130,$D$145:$J$145)</f>
        <v>442.45052316460487</v>
      </c>
      <c r="R130" s="2">
        <v>21794</v>
      </c>
      <c r="S130" s="3">
        <v>463</v>
      </c>
      <c r="T130" s="3">
        <f t="shared" si="1"/>
        <v>532.00500507568972</v>
      </c>
      <c r="U130" s="3"/>
    </row>
    <row r="131" spans="1:21" x14ac:dyDescent="0.3">
      <c r="A131" s="2">
        <v>21824</v>
      </c>
      <c r="B131" s="3">
        <v>407</v>
      </c>
      <c r="D131" s="8">
        <v>1</v>
      </c>
      <c r="E131" s="8">
        <f t="shared" si="3"/>
        <v>407</v>
      </c>
      <c r="F131" s="8">
        <f t="shared" si="3"/>
        <v>362</v>
      </c>
      <c r="G131" s="8">
        <f t="shared" si="3"/>
        <v>369.71325074938443</v>
      </c>
      <c r="H131" s="8">
        <f t="shared" si="3"/>
        <v>412.54655447187633</v>
      </c>
      <c r="I131" s="8">
        <f t="shared" si="3"/>
        <v>436.49388415072571</v>
      </c>
      <c r="J131" s="8">
        <f t="shared" si="4"/>
        <v>442.45052316460487</v>
      </c>
      <c r="L131" s="8"/>
      <c r="N131" s="8">
        <f t="shared" si="5"/>
        <v>429.24813421456219</v>
      </c>
      <c r="O131" s="8">
        <f t="shared" si="6"/>
        <v>429.24657774508302</v>
      </c>
      <c r="R131" s="2">
        <v>21824</v>
      </c>
      <c r="S131" s="3">
        <v>407</v>
      </c>
      <c r="T131" s="3">
        <f t="shared" si="1"/>
        <v>409.64988946608452</v>
      </c>
      <c r="U131" s="3"/>
    </row>
    <row r="132" spans="1:21" x14ac:dyDescent="0.3">
      <c r="A132" s="2">
        <v>21855</v>
      </c>
      <c r="B132" s="3">
        <v>362</v>
      </c>
      <c r="D132" s="8">
        <v>1</v>
      </c>
      <c r="E132" s="8">
        <f t="shared" si="3"/>
        <v>362</v>
      </c>
      <c r="F132" s="8">
        <f t="shared" si="3"/>
        <v>369.71325074938443</v>
      </c>
      <c r="G132" s="8">
        <f t="shared" si="3"/>
        <v>412.54655447187633</v>
      </c>
      <c r="H132" s="8">
        <f t="shared" si="3"/>
        <v>436.49388415072571</v>
      </c>
      <c r="I132" s="8">
        <f t="shared" si="3"/>
        <v>442.45052316460487</v>
      </c>
      <c r="J132" s="8">
        <f t="shared" si="4"/>
        <v>429.24657774508302</v>
      </c>
      <c r="L132" s="8"/>
      <c r="N132" s="8">
        <f t="shared" si="5"/>
        <v>409.45716086693358</v>
      </c>
      <c r="O132" s="8">
        <f t="shared" si="6"/>
        <v>409.45671015161935</v>
      </c>
      <c r="R132" s="2">
        <v>21855</v>
      </c>
      <c r="S132" s="3">
        <v>362</v>
      </c>
      <c r="T132" s="3">
        <f t="shared" si="1"/>
        <v>388.14846587975615</v>
      </c>
      <c r="U132" s="3"/>
    </row>
    <row r="133" spans="1:21" x14ac:dyDescent="0.3">
      <c r="A133" s="2">
        <v>21885</v>
      </c>
      <c r="B133" s="3">
        <v>405</v>
      </c>
      <c r="D133" s="8">
        <v>1</v>
      </c>
      <c r="E133" s="8">
        <f t="shared" si="3"/>
        <v>369.71325074938443</v>
      </c>
      <c r="F133" s="8">
        <f t="shared" si="3"/>
        <v>412.54655447187633</v>
      </c>
      <c r="G133" s="8">
        <f t="shared" si="3"/>
        <v>436.49388415072571</v>
      </c>
      <c r="H133" s="8">
        <f t="shared" si="3"/>
        <v>442.45052316460487</v>
      </c>
      <c r="I133" s="8">
        <f t="shared" si="3"/>
        <v>429.24657774508302</v>
      </c>
      <c r="J133" s="8">
        <f t="shared" si="4"/>
        <v>409.45671015161935</v>
      </c>
      <c r="L133" s="8"/>
      <c r="N133" s="8">
        <f t="shared" si="5"/>
        <v>400.77484815275636</v>
      </c>
      <c r="O133" s="8">
        <f t="shared" si="6"/>
        <v>400.77571374783224</v>
      </c>
      <c r="R133" s="2">
        <v>21885</v>
      </c>
      <c r="S133" s="3">
        <v>405</v>
      </c>
      <c r="T133" s="3">
        <f t="shared" si="1"/>
        <v>369.71325074938443</v>
      </c>
      <c r="U133" s="3"/>
    </row>
    <row r="134" spans="1:21" x14ac:dyDescent="0.3">
      <c r="A134" s="4">
        <v>21916</v>
      </c>
      <c r="B134" s="5">
        <v>417</v>
      </c>
      <c r="D134" s="8">
        <v>1</v>
      </c>
      <c r="E134" s="8">
        <f t="shared" si="3"/>
        <v>412.54655447187633</v>
      </c>
      <c r="F134" s="8">
        <f t="shared" si="3"/>
        <v>436.49388415072571</v>
      </c>
      <c r="G134" s="8">
        <f t="shared" si="3"/>
        <v>442.45052316460487</v>
      </c>
      <c r="H134" s="8">
        <f t="shared" si="3"/>
        <v>429.24657774508302</v>
      </c>
      <c r="I134" s="8">
        <f t="shared" si="3"/>
        <v>409.45671015161935</v>
      </c>
      <c r="J134" s="8">
        <f t="shared" si="4"/>
        <v>400.77571374783224</v>
      </c>
      <c r="L134" s="8"/>
      <c r="N134" s="8">
        <f t="shared" si="5"/>
        <v>402.34221801444528</v>
      </c>
      <c r="O134" s="8">
        <f t="shared" si="6"/>
        <v>402.34280797926806</v>
      </c>
      <c r="R134" s="4">
        <v>21916</v>
      </c>
      <c r="S134" s="5">
        <v>417</v>
      </c>
      <c r="T134" s="5"/>
      <c r="U134" s="5">
        <f>O128</f>
        <v>412.54655447187633</v>
      </c>
    </row>
    <row r="135" spans="1:21" x14ac:dyDescent="0.3">
      <c r="A135" s="4">
        <v>21947</v>
      </c>
      <c r="B135" s="5">
        <v>391</v>
      </c>
      <c r="D135" s="8">
        <v>1</v>
      </c>
      <c r="E135" s="8">
        <f t="shared" si="3"/>
        <v>436.49388415072571</v>
      </c>
      <c r="F135" s="8">
        <f t="shared" si="3"/>
        <v>442.45052316460487</v>
      </c>
      <c r="G135" s="8">
        <f t="shared" si="3"/>
        <v>429.24657774508302</v>
      </c>
      <c r="H135" s="8">
        <f t="shared" si="3"/>
        <v>409.45671015161935</v>
      </c>
      <c r="I135" s="8">
        <f t="shared" si="3"/>
        <v>400.77571374783224</v>
      </c>
      <c r="J135" s="8">
        <f t="shared" si="4"/>
        <v>402.34280797926806</v>
      </c>
      <c r="L135" s="8"/>
      <c r="N135" s="8">
        <f t="shared" si="5"/>
        <v>409.64182898956187</v>
      </c>
      <c r="O135" s="8">
        <f t="shared" si="6"/>
        <v>409.64244190233251</v>
      </c>
      <c r="R135" s="4">
        <v>21947</v>
      </c>
      <c r="S135" s="5">
        <v>391</v>
      </c>
      <c r="T135" s="5"/>
      <c r="U135" s="5">
        <f t="shared" ref="U135:U145" si="7">O129</f>
        <v>436.49388415072571</v>
      </c>
    </row>
    <row r="136" spans="1:21" x14ac:dyDescent="0.3">
      <c r="A136" s="4">
        <v>21976</v>
      </c>
      <c r="B136" s="5">
        <v>419</v>
      </c>
      <c r="D136" s="8">
        <v>1</v>
      </c>
      <c r="E136" s="8">
        <f t="shared" si="3"/>
        <v>442.45052316460487</v>
      </c>
      <c r="F136" s="8">
        <f t="shared" si="3"/>
        <v>429.24657774508302</v>
      </c>
      <c r="G136" s="8">
        <f t="shared" si="3"/>
        <v>409.45671015161935</v>
      </c>
      <c r="H136" s="8">
        <f t="shared" si="3"/>
        <v>400.77571374783224</v>
      </c>
      <c r="I136" s="8">
        <f t="shared" si="3"/>
        <v>402.34280797926806</v>
      </c>
      <c r="J136" s="8">
        <f t="shared" si="4"/>
        <v>409.64244190233251</v>
      </c>
      <c r="L136" s="8"/>
      <c r="N136" s="8">
        <f t="shared" si="5"/>
        <v>416.14531121056007</v>
      </c>
      <c r="O136" s="8">
        <f t="shared" si="6"/>
        <v>416.14545466299984</v>
      </c>
      <c r="R136" s="4">
        <v>21976</v>
      </c>
      <c r="S136" s="5">
        <v>419</v>
      </c>
      <c r="T136" s="5"/>
      <c r="U136" s="5">
        <f t="shared" si="7"/>
        <v>442.45052316460487</v>
      </c>
    </row>
    <row r="137" spans="1:21" x14ac:dyDescent="0.3">
      <c r="A137" s="4">
        <v>22007</v>
      </c>
      <c r="B137" s="5">
        <v>461</v>
      </c>
      <c r="D137" s="8">
        <v>1</v>
      </c>
      <c r="E137" s="8">
        <f t="shared" si="3"/>
        <v>429.24657774508302</v>
      </c>
      <c r="F137" s="8">
        <f t="shared" si="3"/>
        <v>409.45671015161935</v>
      </c>
      <c r="G137" s="8">
        <f t="shared" si="3"/>
        <v>400.77571374783224</v>
      </c>
      <c r="H137" s="8">
        <f t="shared" si="3"/>
        <v>402.34280797926806</v>
      </c>
      <c r="I137" s="8">
        <f t="shared" si="3"/>
        <v>409.64244190233251</v>
      </c>
      <c r="J137" s="8">
        <f t="shared" si="4"/>
        <v>416.14545466299984</v>
      </c>
      <c r="L137" s="8"/>
      <c r="N137" s="8">
        <f t="shared" si="5"/>
        <v>416.78249073169019</v>
      </c>
      <c r="O137" s="8">
        <f t="shared" si="6"/>
        <v>416.78222560084657</v>
      </c>
      <c r="R137" s="4">
        <v>22007</v>
      </c>
      <c r="S137" s="5">
        <v>461</v>
      </c>
      <c r="T137" s="5"/>
      <c r="U137" s="5">
        <f t="shared" si="7"/>
        <v>429.24657774508302</v>
      </c>
    </row>
    <row r="138" spans="1:21" x14ac:dyDescent="0.3">
      <c r="A138" s="4">
        <v>22037</v>
      </c>
      <c r="B138" s="5">
        <v>472</v>
      </c>
      <c r="D138" s="8">
        <v>1</v>
      </c>
      <c r="E138" s="8">
        <f t="shared" si="3"/>
        <v>409.45671015161935</v>
      </c>
      <c r="F138" s="8">
        <f t="shared" si="3"/>
        <v>400.77571374783224</v>
      </c>
      <c r="G138" s="8">
        <f t="shared" si="3"/>
        <v>402.34280797926806</v>
      </c>
      <c r="H138" s="8">
        <f t="shared" si="3"/>
        <v>409.64244190233251</v>
      </c>
      <c r="I138" s="8">
        <f t="shared" si="3"/>
        <v>416.14545466299984</v>
      </c>
      <c r="J138" s="8">
        <f t="shared" si="4"/>
        <v>416.78222560084657</v>
      </c>
      <c r="L138" s="8"/>
      <c r="N138" s="8">
        <f t="shared" si="5"/>
        <v>413.16142011422892</v>
      </c>
      <c r="O138" s="8">
        <f t="shared" si="6"/>
        <v>413.16128437160529</v>
      </c>
      <c r="R138" s="4">
        <v>22037</v>
      </c>
      <c r="S138" s="5">
        <v>472</v>
      </c>
      <c r="T138" s="5"/>
      <c r="U138" s="5">
        <f t="shared" si="7"/>
        <v>409.45671015161935</v>
      </c>
    </row>
    <row r="139" spans="1:21" x14ac:dyDescent="0.3">
      <c r="A139" s="4">
        <v>22068</v>
      </c>
      <c r="B139" s="5">
        <v>535</v>
      </c>
      <c r="D139" s="8">
        <v>1</v>
      </c>
      <c r="E139" s="8">
        <f t="shared" si="3"/>
        <v>400.77571374783224</v>
      </c>
      <c r="F139" s="8">
        <f t="shared" si="3"/>
        <v>402.34280797926806</v>
      </c>
      <c r="G139" s="8">
        <f t="shared" si="3"/>
        <v>409.64244190233251</v>
      </c>
      <c r="H139" s="8">
        <f t="shared" si="3"/>
        <v>416.14545466299984</v>
      </c>
      <c r="I139" s="8">
        <f t="shared" si="3"/>
        <v>416.78222560084657</v>
      </c>
      <c r="J139" s="8">
        <f t="shared" si="4"/>
        <v>413.16128437160529</v>
      </c>
      <c r="L139" s="8"/>
      <c r="N139" s="8">
        <f t="shared" si="5"/>
        <v>408.58192017782392</v>
      </c>
      <c r="O139" s="8">
        <f t="shared" si="6"/>
        <v>408.5819230116328</v>
      </c>
      <c r="R139" s="4">
        <v>22068</v>
      </c>
      <c r="S139" s="5">
        <v>535</v>
      </c>
      <c r="T139" s="5"/>
      <c r="U139" s="5">
        <f t="shared" si="7"/>
        <v>400.77571374783224</v>
      </c>
    </row>
    <row r="140" spans="1:21" x14ac:dyDescent="0.3">
      <c r="A140" s="4">
        <v>22098</v>
      </c>
      <c r="B140" s="5">
        <v>622</v>
      </c>
      <c r="R140" s="4">
        <v>22098</v>
      </c>
      <c r="S140" s="5">
        <v>622</v>
      </c>
      <c r="T140" s="5"/>
      <c r="U140" s="5">
        <f t="shared" si="7"/>
        <v>402.34280797926806</v>
      </c>
    </row>
    <row r="141" spans="1:21" x14ac:dyDescent="0.3">
      <c r="A141" s="4">
        <v>22129</v>
      </c>
      <c r="B141" s="5">
        <v>606</v>
      </c>
      <c r="R141" s="4">
        <v>22129</v>
      </c>
      <c r="S141" s="5">
        <v>606</v>
      </c>
      <c r="T141" s="5"/>
      <c r="U141" s="5">
        <f t="shared" si="7"/>
        <v>409.64244190233251</v>
      </c>
    </row>
    <row r="142" spans="1:21" x14ac:dyDescent="0.3">
      <c r="A142" s="4">
        <v>22160</v>
      </c>
      <c r="B142" s="5">
        <v>508</v>
      </c>
      <c r="R142" s="4">
        <v>22160</v>
      </c>
      <c r="S142" s="5">
        <v>508</v>
      </c>
      <c r="T142" s="5"/>
      <c r="U142" s="5">
        <f t="shared" si="7"/>
        <v>416.14545466299984</v>
      </c>
    </row>
    <row r="143" spans="1:21" x14ac:dyDescent="0.3">
      <c r="A143" s="4">
        <v>22190</v>
      </c>
      <c r="B143" s="5">
        <v>461</v>
      </c>
      <c r="D143" s="1" t="s">
        <v>2</v>
      </c>
      <c r="E143" s="1" t="s">
        <v>3</v>
      </c>
      <c r="F143" s="1" t="s">
        <v>4</v>
      </c>
      <c r="G143" s="1" t="s">
        <v>5</v>
      </c>
      <c r="H143" s="1" t="s">
        <v>6</v>
      </c>
      <c r="I143" s="1" t="s">
        <v>7</v>
      </c>
      <c r="J143" s="1" t="s">
        <v>8</v>
      </c>
      <c r="N143" s="1" t="s">
        <v>17</v>
      </c>
      <c r="O143" s="1" t="s">
        <v>17</v>
      </c>
      <c r="R143" s="4">
        <v>22190</v>
      </c>
      <c r="S143" s="5">
        <v>461</v>
      </c>
      <c r="T143" s="5"/>
      <c r="U143" s="5">
        <f t="shared" si="7"/>
        <v>416.78222560084657</v>
      </c>
    </row>
    <row r="144" spans="1:21" x14ac:dyDescent="0.3">
      <c r="A144" s="4">
        <v>22221</v>
      </c>
      <c r="B144" s="5">
        <v>390</v>
      </c>
      <c r="D144" s="3">
        <v>9.8114571606018401</v>
      </c>
      <c r="E144" s="3">
        <v>-6.7089409172663886E-2</v>
      </c>
      <c r="F144" s="3">
        <v>0.33924289268510621</v>
      </c>
      <c r="G144" s="3">
        <v>-0.17932609636747479</v>
      </c>
      <c r="H144" s="3">
        <v>8.7834519306904724E-2</v>
      </c>
      <c r="I144" s="3">
        <v>-0.48910595983841304</v>
      </c>
      <c r="J144" s="3">
        <v>1.2826096379678129</v>
      </c>
      <c r="K144" s="6" t="s">
        <v>20</v>
      </c>
      <c r="N144" s="3">
        <f t="array" ref="N144">SUM( (L2:L127-N2:N127)^2 )</f>
        <v>98936.417721117206</v>
      </c>
      <c r="O144" s="3">
        <f t="array" ref="O144">SUM( (L2:L127-O2:O127)^2 )</f>
        <v>98936.416817533507</v>
      </c>
      <c r="R144" s="4">
        <v>22221</v>
      </c>
      <c r="S144" s="5">
        <v>390</v>
      </c>
      <c r="T144" s="5"/>
      <c r="U144" s="5">
        <f t="shared" si="7"/>
        <v>413.16128437160529</v>
      </c>
    </row>
    <row r="145" spans="1:21" x14ac:dyDescent="0.3">
      <c r="A145" s="4">
        <v>22251</v>
      </c>
      <c r="B145" s="5">
        <v>432</v>
      </c>
      <c r="D145" s="13">
        <f t="array" ref="D145:J145" xml:space="preserve"> TRANSPOSE( MMULT( MMULT( MINVERSE( MMULT( TRANSPOSE( D2:J127 ), D2:J127 ) ), TRANSPOSE( D2:J127 ) ), L2:L127 ) )</f>
        <v>9.8101105165960867</v>
      </c>
      <c r="E145" s="3">
        <v>-6.7147786864394918E-2</v>
      </c>
      <c r="F145" s="3">
        <v>0.33930753222383625</v>
      </c>
      <c r="G145" s="3">
        <v>-0.1793315108211197</v>
      </c>
      <c r="H145" s="3">
        <v>8.7818116034615923E-2</v>
      </c>
      <c r="I145" s="3">
        <v>-0.48916543008828345</v>
      </c>
      <c r="J145" s="3">
        <v>1.2826884664227365</v>
      </c>
      <c r="K145" s="6" t="s">
        <v>21</v>
      </c>
      <c r="R145" s="4">
        <v>22251</v>
      </c>
      <c r="S145" s="5">
        <v>432</v>
      </c>
      <c r="T145" s="5"/>
      <c r="U145" s="5">
        <f t="shared" si="7"/>
        <v>408.5819230116328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9D2A4B-7F46-4F83-87DF-D7CCF26B78E6}">
  <sheetPr codeName="Sheet3"/>
  <dimension ref="A1:Y145"/>
  <sheetViews>
    <sheetView tabSelected="1" workbookViewId="0">
      <pane ySplit="1" topLeftCell="A2" activePane="bottomLeft" state="frozen"/>
      <selection pane="bottomLeft"/>
    </sheetView>
  </sheetViews>
  <sheetFormatPr defaultRowHeight="14.4" x14ac:dyDescent="0.3"/>
  <cols>
    <col min="1" max="1" width="10.5546875" bestFit="1" customWidth="1"/>
    <col min="2" max="2" width="10.6640625" bestFit="1" customWidth="1"/>
    <col min="14" max="15" width="12" bestFit="1" customWidth="1"/>
    <col min="18" max="18" width="10.5546875" bestFit="1" customWidth="1"/>
    <col min="21" max="21" width="10" bestFit="1" customWidth="1"/>
  </cols>
  <sheetData>
    <row r="1" spans="1:21" x14ac:dyDescent="0.3">
      <c r="A1" s="1" t="s">
        <v>0</v>
      </c>
      <c r="B1" s="1" t="s">
        <v>1</v>
      </c>
      <c r="D1" s="1" t="s">
        <v>10</v>
      </c>
      <c r="E1" s="1" t="s">
        <v>11</v>
      </c>
      <c r="F1" s="1" t="s">
        <v>12</v>
      </c>
      <c r="G1" s="1" t="s">
        <v>13</v>
      </c>
      <c r="H1" s="1" t="s">
        <v>14</v>
      </c>
      <c r="I1" s="1" t="s">
        <v>15</v>
      </c>
      <c r="J1" s="1" t="s">
        <v>16</v>
      </c>
      <c r="L1" s="1" t="s">
        <v>9</v>
      </c>
      <c r="N1" s="1" t="s">
        <v>18</v>
      </c>
      <c r="O1" s="1" t="s">
        <v>19</v>
      </c>
      <c r="R1" s="1" t="s">
        <v>0</v>
      </c>
      <c r="S1" s="1" t="s">
        <v>22</v>
      </c>
      <c r="T1" s="1" t="s">
        <v>23</v>
      </c>
      <c r="U1" s="7" t="s">
        <v>29</v>
      </c>
    </row>
    <row r="2" spans="1:21" x14ac:dyDescent="0.3">
      <c r="A2" s="2">
        <v>17899</v>
      </c>
      <c r="B2" s="3">
        <v>112</v>
      </c>
      <c r="D2" s="3">
        <v>1</v>
      </c>
      <c r="E2" s="3">
        <v>112</v>
      </c>
      <c r="F2" s="3">
        <v>118</v>
      </c>
      <c r="G2" s="3">
        <v>132</v>
      </c>
      <c r="H2" s="3">
        <v>129</v>
      </c>
      <c r="I2" s="3">
        <v>121</v>
      </c>
      <c r="J2" s="3">
        <v>135</v>
      </c>
      <c r="L2" s="3">
        <v>148</v>
      </c>
      <c r="N2" s="3">
        <f>SUMPRODUCT(D2:J2,$D$142:$J$142)</f>
        <v>143.63932201568124</v>
      </c>
      <c r="O2" s="3">
        <f>SUMPRODUCT(D2:J2,$D$143:$J$143)</f>
        <v>143.63925658100453</v>
      </c>
      <c r="R2" s="2">
        <v>17899</v>
      </c>
      <c r="S2" s="3">
        <v>112</v>
      </c>
      <c r="T2" s="3"/>
      <c r="U2" s="3"/>
    </row>
    <row r="3" spans="1:21" x14ac:dyDescent="0.3">
      <c r="A3" s="2">
        <v>17930</v>
      </c>
      <c r="B3" s="3">
        <v>118</v>
      </c>
      <c r="D3" s="3">
        <v>1</v>
      </c>
      <c r="E3" s="3">
        <v>118</v>
      </c>
      <c r="F3" s="3">
        <v>132</v>
      </c>
      <c r="G3" s="3">
        <v>129</v>
      </c>
      <c r="H3" s="3">
        <v>121</v>
      </c>
      <c r="I3" s="3">
        <v>135</v>
      </c>
      <c r="J3" s="3">
        <v>148</v>
      </c>
      <c r="L3" s="3">
        <v>148</v>
      </c>
      <c r="N3" s="3">
        <f>SUMPRODUCT(D3:J3,$D$142:$J$142)</f>
        <v>157.13965293452296</v>
      </c>
      <c r="O3" s="3">
        <f>SUMPRODUCT(D3:J3,$D$143:$J$143)</f>
        <v>157.13933654618069</v>
      </c>
      <c r="R3" s="2">
        <v>17930</v>
      </c>
      <c r="S3" s="3">
        <v>118</v>
      </c>
      <c r="T3" s="3"/>
      <c r="U3" s="3"/>
    </row>
    <row r="4" spans="1:21" x14ac:dyDescent="0.3">
      <c r="A4" s="2">
        <v>17958</v>
      </c>
      <c r="B4" s="3">
        <v>132</v>
      </c>
      <c r="D4" s="3">
        <v>1</v>
      </c>
      <c r="E4" s="3">
        <v>132</v>
      </c>
      <c r="F4" s="3">
        <v>129</v>
      </c>
      <c r="G4" s="3">
        <v>121</v>
      </c>
      <c r="H4" s="3">
        <v>135</v>
      </c>
      <c r="I4" s="3">
        <v>148</v>
      </c>
      <c r="J4" s="3">
        <v>148</v>
      </c>
      <c r="L4" s="3">
        <v>136</v>
      </c>
      <c r="N4" s="3">
        <f>SUMPRODUCT(D4:J4,$D$142:$J$142)</f>
        <v>152.5211661467896</v>
      </c>
      <c r="O4" s="3">
        <f>SUMPRODUCT(D4:J4,$D$143:$J$143)</f>
        <v>152.52065079174281</v>
      </c>
      <c r="R4" s="2">
        <v>17958</v>
      </c>
      <c r="S4" s="3">
        <v>132</v>
      </c>
      <c r="T4" s="3"/>
      <c r="U4" s="3"/>
    </row>
    <row r="5" spans="1:21" x14ac:dyDescent="0.3">
      <c r="A5" s="2">
        <v>17989</v>
      </c>
      <c r="B5" s="3">
        <v>129</v>
      </c>
      <c r="D5" s="3">
        <v>1</v>
      </c>
      <c r="E5" s="3">
        <v>129</v>
      </c>
      <c r="F5" s="3">
        <v>121</v>
      </c>
      <c r="G5" s="3">
        <v>135</v>
      </c>
      <c r="H5" s="3">
        <v>148</v>
      </c>
      <c r="I5" s="3">
        <v>148</v>
      </c>
      <c r="J5" s="3">
        <v>136</v>
      </c>
      <c r="L5" s="3">
        <v>119</v>
      </c>
      <c r="N5" s="3">
        <f>SUMPRODUCT(D5:J5,$D$142:$J$142)</f>
        <v>133.62216229486717</v>
      </c>
      <c r="O5" s="3">
        <f>SUMPRODUCT(D5:J5,$D$143:$J$143)</f>
        <v>133.62179927415625</v>
      </c>
      <c r="R5" s="2">
        <v>17989</v>
      </c>
      <c r="S5" s="3">
        <v>129</v>
      </c>
      <c r="T5" s="3"/>
      <c r="U5" s="3"/>
    </row>
    <row r="6" spans="1:21" x14ac:dyDescent="0.3">
      <c r="A6" s="2">
        <v>18019</v>
      </c>
      <c r="B6" s="3">
        <v>121</v>
      </c>
      <c r="D6" s="3">
        <v>1</v>
      </c>
      <c r="E6" s="3">
        <v>121</v>
      </c>
      <c r="F6" s="3">
        <v>135</v>
      </c>
      <c r="G6" s="3">
        <v>148</v>
      </c>
      <c r="H6" s="3">
        <v>148</v>
      </c>
      <c r="I6" s="3">
        <v>136</v>
      </c>
      <c r="J6" s="3">
        <v>119</v>
      </c>
      <c r="L6" s="3">
        <v>104</v>
      </c>
      <c r="N6" s="3">
        <f>SUMPRODUCT(D6:J6,$D$142:$J$142)</f>
        <v>119.82007499030465</v>
      </c>
      <c r="O6" s="3">
        <f>SUMPRODUCT(D6:J6,$D$143:$J$143)</f>
        <v>119.81904640050979</v>
      </c>
      <c r="R6" s="2">
        <v>18019</v>
      </c>
      <c r="S6" s="3">
        <v>121</v>
      </c>
      <c r="T6" s="3"/>
      <c r="U6" s="3"/>
    </row>
    <row r="7" spans="1:21" x14ac:dyDescent="0.3">
      <c r="A7" s="2">
        <v>18050</v>
      </c>
      <c r="B7" s="3">
        <v>135</v>
      </c>
      <c r="D7" s="3">
        <v>1</v>
      </c>
      <c r="E7" s="3">
        <v>135</v>
      </c>
      <c r="F7" s="3">
        <v>148</v>
      </c>
      <c r="G7" s="3">
        <v>148</v>
      </c>
      <c r="H7" s="3">
        <v>136</v>
      </c>
      <c r="I7" s="3">
        <v>119</v>
      </c>
      <c r="J7" s="3">
        <v>104</v>
      </c>
      <c r="L7" s="3">
        <v>118</v>
      </c>
      <c r="N7" s="3">
        <f>SUMPRODUCT(D7:J7,$D$142:$J$142)</f>
        <v>110.40040871615503</v>
      </c>
      <c r="O7" s="3">
        <f>SUMPRODUCT(D7:J7,$D$143:$J$143)</f>
        <v>110.3993995402511</v>
      </c>
      <c r="R7" s="2">
        <v>18050</v>
      </c>
      <c r="S7" s="3">
        <v>135</v>
      </c>
      <c r="T7" s="3"/>
      <c r="U7" s="3"/>
    </row>
    <row r="8" spans="1:21" x14ac:dyDescent="0.3">
      <c r="A8" s="2">
        <v>18080</v>
      </c>
      <c r="B8" s="3">
        <v>148</v>
      </c>
      <c r="D8" s="3">
        <v>1</v>
      </c>
      <c r="E8" s="3">
        <v>148</v>
      </c>
      <c r="F8" s="3">
        <v>148</v>
      </c>
      <c r="G8" s="3">
        <v>136</v>
      </c>
      <c r="H8" s="3">
        <v>119</v>
      </c>
      <c r="I8" s="3">
        <v>104</v>
      </c>
      <c r="J8" s="3">
        <v>118</v>
      </c>
      <c r="L8" s="3">
        <v>115</v>
      </c>
      <c r="N8" s="3">
        <f>SUMPRODUCT(D8:J8,$D$142:$J$142)</f>
        <v>135.06337684788895</v>
      </c>
      <c r="O8" s="3">
        <f>SUMPRODUCT(D8:J8,$D$143:$J$143)</f>
        <v>135.06328032660059</v>
      </c>
      <c r="R8" s="2">
        <v>18080</v>
      </c>
      <c r="S8" s="3">
        <v>148</v>
      </c>
      <c r="T8" s="3">
        <f>O2</f>
        <v>143.63925658100453</v>
      </c>
      <c r="U8" s="3"/>
    </row>
    <row r="9" spans="1:21" x14ac:dyDescent="0.3">
      <c r="A9" s="2">
        <v>18111</v>
      </c>
      <c r="B9" s="3">
        <v>148</v>
      </c>
      <c r="D9" s="3">
        <v>1</v>
      </c>
      <c r="E9" s="3">
        <v>148</v>
      </c>
      <c r="F9" s="3">
        <v>136</v>
      </c>
      <c r="G9" s="3">
        <v>119</v>
      </c>
      <c r="H9" s="3">
        <v>104</v>
      </c>
      <c r="I9" s="3">
        <v>118</v>
      </c>
      <c r="J9" s="3">
        <v>115</v>
      </c>
      <c r="L9" s="3">
        <v>126</v>
      </c>
      <c r="N9" s="3">
        <f>SUMPRODUCT(D9:J9,$D$142:$J$142)</f>
        <v>122.14385946554029</v>
      </c>
      <c r="O9" s="3">
        <f>SUMPRODUCT(D9:J9,$D$143:$J$143)</f>
        <v>122.14384766660081</v>
      </c>
      <c r="R9" s="2">
        <v>18111</v>
      </c>
      <c r="S9" s="3">
        <v>148</v>
      </c>
      <c r="T9" s="3">
        <f t="shared" ref="T9:T72" si="0">O3</f>
        <v>157.13933654618069</v>
      </c>
      <c r="U9" s="3"/>
    </row>
    <row r="10" spans="1:21" x14ac:dyDescent="0.3">
      <c r="A10" s="2">
        <v>18142</v>
      </c>
      <c r="B10" s="3">
        <v>136</v>
      </c>
      <c r="D10" s="3">
        <v>1</v>
      </c>
      <c r="E10" s="3">
        <v>136</v>
      </c>
      <c r="F10" s="3">
        <v>119</v>
      </c>
      <c r="G10" s="3">
        <v>104</v>
      </c>
      <c r="H10" s="3">
        <v>118</v>
      </c>
      <c r="I10" s="3">
        <v>115</v>
      </c>
      <c r="J10" s="3">
        <v>126</v>
      </c>
      <c r="L10" s="3">
        <v>141</v>
      </c>
      <c r="N10" s="3">
        <f>SUMPRODUCT(D10:J10,$D$142:$J$142)</f>
        <v>138.08302610269547</v>
      </c>
      <c r="O10" s="3">
        <f>SUMPRODUCT(D10:J10,$D$143:$J$143)</f>
        <v>138.08287467360074</v>
      </c>
      <c r="R10" s="2">
        <v>18142</v>
      </c>
      <c r="S10" s="3">
        <v>136</v>
      </c>
      <c r="T10" s="3">
        <f t="shared" si="0"/>
        <v>152.52065079174281</v>
      </c>
      <c r="U10" s="3"/>
    </row>
    <row r="11" spans="1:21" x14ac:dyDescent="0.3">
      <c r="A11" s="2">
        <v>18172</v>
      </c>
      <c r="B11" s="3">
        <v>119</v>
      </c>
      <c r="D11" s="3">
        <v>1</v>
      </c>
      <c r="E11" s="3">
        <v>119</v>
      </c>
      <c r="F11" s="3">
        <v>104</v>
      </c>
      <c r="G11" s="3">
        <v>118</v>
      </c>
      <c r="H11" s="3">
        <v>115</v>
      </c>
      <c r="I11" s="3">
        <v>126</v>
      </c>
      <c r="J11" s="3">
        <v>141</v>
      </c>
      <c r="L11" s="3">
        <v>135</v>
      </c>
      <c r="N11" s="3">
        <f>SUMPRODUCT(D11:J11,$D$142:$J$142)</f>
        <v>145.10416052022816</v>
      </c>
      <c r="O11" s="3">
        <f>SUMPRODUCT(D11:J11,$D$143:$J$143)</f>
        <v>145.10487527099133</v>
      </c>
      <c r="R11" s="2">
        <v>18172</v>
      </c>
      <c r="S11" s="3">
        <v>119</v>
      </c>
      <c r="T11" s="3">
        <f t="shared" si="0"/>
        <v>133.62179927415625</v>
      </c>
      <c r="U11" s="3"/>
    </row>
    <row r="12" spans="1:21" x14ac:dyDescent="0.3">
      <c r="A12" s="2">
        <v>18203</v>
      </c>
      <c r="B12" s="3">
        <v>104</v>
      </c>
      <c r="D12" s="3">
        <v>1</v>
      </c>
      <c r="E12" s="3">
        <v>104</v>
      </c>
      <c r="F12" s="3">
        <v>118</v>
      </c>
      <c r="G12" s="3">
        <v>115</v>
      </c>
      <c r="H12" s="3">
        <v>126</v>
      </c>
      <c r="I12" s="3">
        <v>141</v>
      </c>
      <c r="J12" s="3">
        <v>135</v>
      </c>
      <c r="L12" s="3">
        <v>125</v>
      </c>
      <c r="N12" s="3">
        <f>SUMPRODUCT(D12:J12,$D$142:$J$142)</f>
        <v>137.53167029142188</v>
      </c>
      <c r="O12" s="3">
        <f>SUMPRODUCT(D12:J12,$D$143:$J$143)</f>
        <v>137.5306131279801</v>
      </c>
      <c r="R12" s="2">
        <v>18203</v>
      </c>
      <c r="S12" s="3">
        <v>104</v>
      </c>
      <c r="T12" s="3">
        <f t="shared" si="0"/>
        <v>119.81904640050979</v>
      </c>
      <c r="U12" s="3"/>
    </row>
    <row r="13" spans="1:21" x14ac:dyDescent="0.3">
      <c r="A13" s="2">
        <v>18233</v>
      </c>
      <c r="B13" s="3">
        <v>118</v>
      </c>
      <c r="D13" s="3">
        <v>1</v>
      </c>
      <c r="E13" s="3">
        <v>118</v>
      </c>
      <c r="F13" s="3">
        <v>115</v>
      </c>
      <c r="G13" s="3">
        <v>126</v>
      </c>
      <c r="H13" s="3">
        <v>141</v>
      </c>
      <c r="I13" s="3">
        <v>135</v>
      </c>
      <c r="J13" s="3">
        <v>125</v>
      </c>
      <c r="L13" s="3">
        <v>149</v>
      </c>
      <c r="N13" s="3">
        <f>SUMPRODUCT(D13:J13,$D$142:$J$142)</f>
        <v>125.50492366710944</v>
      </c>
      <c r="O13" s="3">
        <f>SUMPRODUCT(D13:J13,$D$143:$J$143)</f>
        <v>125.50429269330756</v>
      </c>
      <c r="R13" s="2">
        <v>18233</v>
      </c>
      <c r="S13" s="3">
        <v>118</v>
      </c>
      <c r="T13" s="3">
        <f t="shared" si="0"/>
        <v>110.3993995402511</v>
      </c>
      <c r="U13" s="3"/>
    </row>
    <row r="14" spans="1:21" x14ac:dyDescent="0.3">
      <c r="A14" s="2">
        <v>18264</v>
      </c>
      <c r="B14" s="3">
        <v>115</v>
      </c>
      <c r="D14" s="3">
        <v>1</v>
      </c>
      <c r="E14" s="3">
        <v>115</v>
      </c>
      <c r="F14" s="3">
        <v>126</v>
      </c>
      <c r="G14" s="3">
        <v>141</v>
      </c>
      <c r="H14" s="3">
        <v>135</v>
      </c>
      <c r="I14" s="3">
        <v>125</v>
      </c>
      <c r="J14" s="3">
        <v>149</v>
      </c>
      <c r="L14" s="3">
        <v>170</v>
      </c>
      <c r="N14" s="3">
        <f>SUMPRODUCT(D14:J14,$D$142:$J$142)</f>
        <v>160.97208286577515</v>
      </c>
      <c r="O14" s="3">
        <f>SUMPRODUCT(D14:J14,$D$143:$J$143)</f>
        <v>160.97216001657515</v>
      </c>
      <c r="R14" s="2">
        <v>18264</v>
      </c>
      <c r="S14" s="3">
        <v>115</v>
      </c>
      <c r="T14" s="3">
        <f t="shared" si="0"/>
        <v>135.06328032660059</v>
      </c>
      <c r="U14" s="3"/>
    </row>
    <row r="15" spans="1:21" x14ac:dyDescent="0.3">
      <c r="A15" s="2">
        <v>18295</v>
      </c>
      <c r="B15" s="3">
        <v>126</v>
      </c>
      <c r="D15" s="3">
        <v>1</v>
      </c>
      <c r="E15" s="3">
        <v>126</v>
      </c>
      <c r="F15" s="3">
        <v>141</v>
      </c>
      <c r="G15" s="3">
        <v>135</v>
      </c>
      <c r="H15" s="3">
        <v>125</v>
      </c>
      <c r="I15" s="3">
        <v>149</v>
      </c>
      <c r="J15" s="3">
        <v>170</v>
      </c>
      <c r="L15" s="3">
        <v>170</v>
      </c>
      <c r="N15" s="3">
        <f>SUMPRODUCT(D15:J15,$D$142:$J$142)</f>
        <v>180.25892435067641</v>
      </c>
      <c r="O15" s="3">
        <f>SUMPRODUCT(D15:J15,$D$143:$J$143)</f>
        <v>180.25885269912362</v>
      </c>
      <c r="R15" s="2">
        <v>18295</v>
      </c>
      <c r="S15" s="3">
        <v>126</v>
      </c>
      <c r="T15" s="3">
        <f t="shared" si="0"/>
        <v>122.14384766660081</v>
      </c>
      <c r="U15" s="3"/>
    </row>
    <row r="16" spans="1:21" x14ac:dyDescent="0.3">
      <c r="A16" s="2">
        <v>18323</v>
      </c>
      <c r="B16" s="3">
        <v>141</v>
      </c>
      <c r="D16" s="3">
        <v>1</v>
      </c>
      <c r="E16" s="3">
        <v>141</v>
      </c>
      <c r="F16" s="3">
        <v>135</v>
      </c>
      <c r="G16" s="3">
        <v>125</v>
      </c>
      <c r="H16" s="3">
        <v>149</v>
      </c>
      <c r="I16" s="3">
        <v>170</v>
      </c>
      <c r="J16" s="3">
        <v>170</v>
      </c>
      <c r="L16" s="3">
        <v>158</v>
      </c>
      <c r="N16" s="3">
        <f>SUMPRODUCT(D16:J16,$D$142:$J$142)</f>
        <v>172.49484699297568</v>
      </c>
      <c r="O16" s="3">
        <f>SUMPRODUCT(D16:J16,$D$143:$J$143)</f>
        <v>172.49433579527897</v>
      </c>
      <c r="R16" s="2">
        <v>18323</v>
      </c>
      <c r="S16" s="3">
        <v>141</v>
      </c>
      <c r="T16" s="3">
        <f t="shared" si="0"/>
        <v>138.08287467360074</v>
      </c>
      <c r="U16" s="3"/>
    </row>
    <row r="17" spans="1:25" x14ac:dyDescent="0.3">
      <c r="A17" s="2">
        <v>18354</v>
      </c>
      <c r="B17" s="3">
        <v>135</v>
      </c>
      <c r="D17" s="3">
        <v>1</v>
      </c>
      <c r="E17" s="3">
        <v>135</v>
      </c>
      <c r="F17" s="3">
        <v>125</v>
      </c>
      <c r="G17" s="3">
        <v>149</v>
      </c>
      <c r="H17" s="3">
        <v>170</v>
      </c>
      <c r="I17" s="3">
        <v>170</v>
      </c>
      <c r="J17" s="3">
        <v>158</v>
      </c>
      <c r="L17" s="3">
        <v>133</v>
      </c>
      <c r="N17" s="3">
        <f>SUMPRODUCT(D17:J17,$D$142:$J$142)</f>
        <v>152.16443767903743</v>
      </c>
      <c r="O17" s="3">
        <f>SUMPRODUCT(D17:J17,$D$143:$J$143)</f>
        <v>152.16421484506924</v>
      </c>
      <c r="R17" s="2">
        <v>18354</v>
      </c>
      <c r="S17" s="3">
        <v>135</v>
      </c>
      <c r="T17" s="3">
        <f t="shared" si="0"/>
        <v>145.10487527099133</v>
      </c>
      <c r="U17" s="3"/>
    </row>
    <row r="18" spans="1:25" x14ac:dyDescent="0.3">
      <c r="A18" s="2">
        <v>18384</v>
      </c>
      <c r="B18" s="3">
        <v>125</v>
      </c>
      <c r="D18" s="3">
        <v>1</v>
      </c>
      <c r="E18" s="3">
        <v>125</v>
      </c>
      <c r="F18" s="3">
        <v>149</v>
      </c>
      <c r="G18" s="3">
        <v>170</v>
      </c>
      <c r="H18" s="3">
        <v>170</v>
      </c>
      <c r="I18" s="3">
        <v>158</v>
      </c>
      <c r="J18" s="3">
        <v>133</v>
      </c>
      <c r="L18" s="3">
        <v>114</v>
      </c>
      <c r="N18" s="3">
        <f>SUMPRODUCT(D18:J18,$D$142:$J$142)</f>
        <v>129.70468708914092</v>
      </c>
      <c r="O18" s="3">
        <f>SUMPRODUCT(D18:J18,$D$143:$J$143)</f>
        <v>129.70337339341063</v>
      </c>
      <c r="R18" s="2">
        <v>18384</v>
      </c>
      <c r="S18" s="3">
        <v>125</v>
      </c>
      <c r="T18" s="3">
        <f t="shared" si="0"/>
        <v>137.5306131279801</v>
      </c>
      <c r="U18" s="3"/>
    </row>
    <row r="19" spans="1:25" x14ac:dyDescent="0.3">
      <c r="A19" s="2">
        <v>18415</v>
      </c>
      <c r="B19" s="3">
        <v>149</v>
      </c>
      <c r="D19" s="3">
        <v>1</v>
      </c>
      <c r="E19" s="3">
        <v>149</v>
      </c>
      <c r="F19" s="3">
        <v>170</v>
      </c>
      <c r="G19" s="3">
        <v>170</v>
      </c>
      <c r="H19" s="3">
        <v>158</v>
      </c>
      <c r="I19" s="3">
        <v>133</v>
      </c>
      <c r="J19" s="3">
        <v>114</v>
      </c>
      <c r="L19" s="3">
        <v>140</v>
      </c>
      <c r="N19" s="3">
        <f>SUMPRODUCT(D19:J19,$D$142:$J$142)</f>
        <v>120.9129402765474</v>
      </c>
      <c r="O19" s="3">
        <f>SUMPRODUCT(D19:J19,$D$143:$J$143)</f>
        <v>120.91161006653635</v>
      </c>
      <c r="R19" s="2">
        <v>18415</v>
      </c>
      <c r="S19" s="3">
        <v>149</v>
      </c>
      <c r="T19" s="3">
        <f t="shared" si="0"/>
        <v>125.50429269330756</v>
      </c>
      <c r="U19" s="3"/>
    </row>
    <row r="20" spans="1:25" x14ac:dyDescent="0.3">
      <c r="A20" s="2">
        <v>18445</v>
      </c>
      <c r="B20" s="3">
        <v>170</v>
      </c>
      <c r="D20" s="3">
        <v>1</v>
      </c>
      <c r="E20" s="3">
        <v>170</v>
      </c>
      <c r="F20" s="3">
        <v>170</v>
      </c>
      <c r="G20" s="3">
        <v>158</v>
      </c>
      <c r="H20" s="3">
        <v>133</v>
      </c>
      <c r="I20" s="3">
        <v>114</v>
      </c>
      <c r="J20" s="3">
        <v>140</v>
      </c>
      <c r="L20" s="3">
        <v>145</v>
      </c>
      <c r="N20" s="3">
        <f>SUMPRODUCT(D20:J20,$D$142:$J$142)</f>
        <v>161.37834140205359</v>
      </c>
      <c r="O20" s="3">
        <f>SUMPRODUCT(D20:J20,$D$143:$J$143)</f>
        <v>161.37867421952609</v>
      </c>
      <c r="R20" s="2">
        <v>18445</v>
      </c>
      <c r="S20" s="3">
        <v>170</v>
      </c>
      <c r="T20" s="3">
        <f t="shared" si="0"/>
        <v>160.97216001657515</v>
      </c>
      <c r="U20" s="3"/>
    </row>
    <row r="21" spans="1:25" x14ac:dyDescent="0.3">
      <c r="A21" s="2">
        <v>18476</v>
      </c>
      <c r="B21" s="3">
        <v>170</v>
      </c>
      <c r="D21" s="3">
        <v>1</v>
      </c>
      <c r="E21" s="3">
        <v>170</v>
      </c>
      <c r="F21" s="3">
        <v>158</v>
      </c>
      <c r="G21" s="3">
        <v>133</v>
      </c>
      <c r="H21" s="3">
        <v>114</v>
      </c>
      <c r="I21" s="3">
        <v>140</v>
      </c>
      <c r="J21" s="3">
        <v>145</v>
      </c>
      <c r="L21" s="3">
        <v>150</v>
      </c>
      <c r="N21" s="3">
        <f>SUMPRODUCT(D21:J21,$D$142:$J$142)</f>
        <v>154.03400934333189</v>
      </c>
      <c r="O21" s="3">
        <f>SUMPRODUCT(D21:J21,$D$143:$J$143)</f>
        <v>154.03427875697415</v>
      </c>
      <c r="R21" s="2">
        <v>18476</v>
      </c>
      <c r="S21" s="3">
        <v>170</v>
      </c>
      <c r="T21" s="3">
        <f t="shared" si="0"/>
        <v>180.25885269912362</v>
      </c>
      <c r="U21" s="3"/>
    </row>
    <row r="22" spans="1:25" x14ac:dyDescent="0.3">
      <c r="A22" s="2">
        <v>18507</v>
      </c>
      <c r="B22" s="3">
        <v>158</v>
      </c>
      <c r="D22" s="3">
        <v>1</v>
      </c>
      <c r="E22" s="3">
        <v>158</v>
      </c>
      <c r="F22" s="3">
        <v>133</v>
      </c>
      <c r="G22" s="3">
        <v>114</v>
      </c>
      <c r="H22" s="3">
        <v>140</v>
      </c>
      <c r="I22" s="3">
        <v>145</v>
      </c>
      <c r="J22" s="3">
        <v>150</v>
      </c>
      <c r="L22" s="3">
        <v>178</v>
      </c>
      <c r="N22" s="3">
        <f>SUMPRODUCT(D22:J22,$D$142:$J$142)</f>
        <v>158.28230447858186</v>
      </c>
      <c r="O22" s="3">
        <f>SUMPRODUCT(D22:J22,$D$143:$J$143)</f>
        <v>158.2821422683503</v>
      </c>
      <c r="R22" s="2">
        <v>18507</v>
      </c>
      <c r="S22" s="3">
        <v>158</v>
      </c>
      <c r="T22" s="3">
        <f t="shared" si="0"/>
        <v>172.49433579527897</v>
      </c>
      <c r="U22" s="3"/>
      <c r="W22" s="1" t="s">
        <v>24</v>
      </c>
      <c r="X22" s="3">
        <f>AVERAGE(S8:S133)</f>
        <v>269.06349206349205</v>
      </c>
      <c r="Y22" s="1" t="s">
        <v>28</v>
      </c>
    </row>
    <row r="23" spans="1:25" x14ac:dyDescent="0.3">
      <c r="A23" s="2">
        <v>18537</v>
      </c>
      <c r="B23" s="3">
        <v>133</v>
      </c>
      <c r="D23" s="3">
        <v>1</v>
      </c>
      <c r="E23" s="3">
        <v>133</v>
      </c>
      <c r="F23" s="3">
        <v>114</v>
      </c>
      <c r="G23" s="3">
        <v>140</v>
      </c>
      <c r="H23" s="3">
        <v>145</v>
      </c>
      <c r="I23" s="3">
        <v>150</v>
      </c>
      <c r="J23" s="3">
        <v>178</v>
      </c>
      <c r="L23" s="3">
        <v>163</v>
      </c>
      <c r="N23" s="3">
        <f>SUMPRODUCT(D23:J23,$D$142:$J$142)</f>
        <v>182.76471686862271</v>
      </c>
      <c r="O23" s="3">
        <f>SUMPRODUCT(D23:J23,$D$143:$J$143)</f>
        <v>182.76592563933394</v>
      </c>
      <c r="R23" s="2">
        <v>18537</v>
      </c>
      <c r="S23" s="3">
        <v>133</v>
      </c>
      <c r="T23" s="3">
        <f t="shared" si="0"/>
        <v>152.16421484506924</v>
      </c>
      <c r="U23" s="3"/>
      <c r="W23" s="1" t="s">
        <v>25</v>
      </c>
      <c r="X23" s="3">
        <f t="array" ref="X23">SUM( ( S8:S139 - $X$22 )^2 )</f>
        <v>1577237.2464096756</v>
      </c>
      <c r="Y23" s="3">
        <f>SUM(Y24:Y25)</f>
        <v>0.99999999999998657</v>
      </c>
    </row>
    <row r="24" spans="1:25" x14ac:dyDescent="0.3">
      <c r="A24" s="2">
        <v>18568</v>
      </c>
      <c r="B24" s="3">
        <v>114</v>
      </c>
      <c r="D24" s="3">
        <v>1</v>
      </c>
      <c r="E24" s="3">
        <v>114</v>
      </c>
      <c r="F24" s="3">
        <v>140</v>
      </c>
      <c r="G24" s="3">
        <v>145</v>
      </c>
      <c r="H24" s="3">
        <v>150</v>
      </c>
      <c r="I24" s="3">
        <v>178</v>
      </c>
      <c r="J24" s="3">
        <v>163</v>
      </c>
      <c r="L24" s="3">
        <v>172</v>
      </c>
      <c r="N24" s="3">
        <f>SUMPRODUCT(D24:J24,$D$142:$J$142)</f>
        <v>158.90165557920113</v>
      </c>
      <c r="O24" s="3">
        <f>SUMPRODUCT(D24:J24,$D$143:$J$143)</f>
        <v>158.90046375626818</v>
      </c>
      <c r="R24" s="2">
        <v>18568</v>
      </c>
      <c r="S24" s="3">
        <v>114</v>
      </c>
      <c r="T24" s="3">
        <f t="shared" si="0"/>
        <v>129.70337339341063</v>
      </c>
      <c r="U24" s="3"/>
      <c r="W24" s="1" t="s">
        <v>27</v>
      </c>
      <c r="X24" s="3">
        <f t="array" ref="X24">SUM( ( S8:S139 - T8:T139)^2 )</f>
        <v>108566.00981404465</v>
      </c>
      <c r="Y24" s="3">
        <f>X24/X23</f>
        <v>6.8833024366611636E-2</v>
      </c>
    </row>
    <row r="25" spans="1:25" x14ac:dyDescent="0.3">
      <c r="A25" s="2">
        <v>18598</v>
      </c>
      <c r="B25" s="3">
        <v>140</v>
      </c>
      <c r="D25" s="3">
        <v>1</v>
      </c>
      <c r="E25" s="3">
        <v>140</v>
      </c>
      <c r="F25" s="3">
        <v>145</v>
      </c>
      <c r="G25" s="3">
        <v>150</v>
      </c>
      <c r="H25" s="3">
        <v>178</v>
      </c>
      <c r="I25" s="3">
        <v>163</v>
      </c>
      <c r="J25" s="3">
        <v>172</v>
      </c>
      <c r="L25" s="3">
        <v>178</v>
      </c>
      <c r="N25" s="3">
        <f>SUMPRODUCT(D25:J25,$D$142:$J$142)</f>
        <v>180.38597685029413</v>
      </c>
      <c r="O25" s="3">
        <f>SUMPRODUCT(D25:J25,$D$143:$J$143)</f>
        <v>180.38525752247244</v>
      </c>
      <c r="R25" s="2">
        <v>18598</v>
      </c>
      <c r="S25" s="3">
        <v>140</v>
      </c>
      <c r="T25" s="3">
        <f t="shared" si="0"/>
        <v>120.91161006653635</v>
      </c>
      <c r="U25" s="3"/>
      <c r="W25" s="1" t="s">
        <v>26</v>
      </c>
      <c r="X25" s="3">
        <f t="array" ref="X25">SUM( (T8:T139 -$X$22)^2 )</f>
        <v>1468671.2365956097</v>
      </c>
      <c r="Y25" s="3">
        <f>X25/X23</f>
        <v>0.93116697563337492</v>
      </c>
    </row>
    <row r="26" spans="1:25" x14ac:dyDescent="0.3">
      <c r="A26" s="2">
        <v>18629</v>
      </c>
      <c r="B26" s="3">
        <v>145</v>
      </c>
      <c r="D26" s="3">
        <v>1</v>
      </c>
      <c r="E26" s="3">
        <v>145</v>
      </c>
      <c r="F26" s="3">
        <v>150</v>
      </c>
      <c r="G26" s="3">
        <v>178</v>
      </c>
      <c r="H26" s="3">
        <v>163</v>
      </c>
      <c r="I26" s="3">
        <v>172</v>
      </c>
      <c r="J26" s="3">
        <v>178</v>
      </c>
      <c r="L26" s="3">
        <v>199</v>
      </c>
      <c r="N26" s="3">
        <f>SUMPRODUCT(D26:J26,$D$142:$J$142)</f>
        <v>177.25303666163146</v>
      </c>
      <c r="O26" s="3">
        <f>SUMPRODUCT(D26:J26,$D$143:$J$143)</f>
        <v>177.25352479886584</v>
      </c>
      <c r="R26" s="2">
        <v>18629</v>
      </c>
      <c r="S26" s="3">
        <v>145</v>
      </c>
      <c r="T26" s="3">
        <f t="shared" si="0"/>
        <v>161.37867421952609</v>
      </c>
      <c r="U26" s="3"/>
    </row>
    <row r="27" spans="1:25" x14ac:dyDescent="0.3">
      <c r="A27" s="2">
        <v>18660</v>
      </c>
      <c r="B27" s="3">
        <v>150</v>
      </c>
      <c r="D27" s="3">
        <v>1</v>
      </c>
      <c r="E27" s="3">
        <v>150</v>
      </c>
      <c r="F27" s="3">
        <v>178</v>
      </c>
      <c r="G27" s="3">
        <v>163</v>
      </c>
      <c r="H27" s="3">
        <v>172</v>
      </c>
      <c r="I27" s="3">
        <v>178</v>
      </c>
      <c r="J27" s="3">
        <v>199</v>
      </c>
      <c r="L27" s="3">
        <v>199</v>
      </c>
      <c r="N27" s="3">
        <f>SUMPRODUCT(D27:J27,$D$142:$J$142)</f>
        <v>214.10034986801443</v>
      </c>
      <c r="O27" s="3">
        <f>SUMPRODUCT(D27:J27,$D$143:$J$143)</f>
        <v>214.09942156701067</v>
      </c>
      <c r="R27" s="2">
        <v>18660</v>
      </c>
      <c r="S27" s="3">
        <v>150</v>
      </c>
      <c r="T27" s="3">
        <f t="shared" si="0"/>
        <v>154.03427875697415</v>
      </c>
      <c r="U27" s="3"/>
    </row>
    <row r="28" spans="1:25" x14ac:dyDescent="0.3">
      <c r="A28" s="2">
        <v>18688</v>
      </c>
      <c r="B28" s="3">
        <v>178</v>
      </c>
      <c r="D28" s="3">
        <v>1</v>
      </c>
      <c r="E28" s="3">
        <v>178</v>
      </c>
      <c r="F28" s="3">
        <v>163</v>
      </c>
      <c r="G28" s="3">
        <v>172</v>
      </c>
      <c r="H28" s="3">
        <v>178</v>
      </c>
      <c r="I28" s="3">
        <v>199</v>
      </c>
      <c r="J28" s="3">
        <v>199</v>
      </c>
      <c r="L28" s="3">
        <v>184</v>
      </c>
      <c r="N28" s="3">
        <f>SUMPRODUCT(D28:J28,$D$142:$J$142)</f>
        <v>196.40453637196052</v>
      </c>
      <c r="O28" s="3">
        <f>SUMPRODUCT(D28:J28,$D$143:$J$143)</f>
        <v>196.40501060664792</v>
      </c>
      <c r="R28" s="2">
        <v>18688</v>
      </c>
      <c r="S28" s="3">
        <v>178</v>
      </c>
      <c r="T28" s="3">
        <f t="shared" si="0"/>
        <v>158.2821422683503</v>
      </c>
      <c r="U28" s="3"/>
    </row>
    <row r="29" spans="1:25" x14ac:dyDescent="0.3">
      <c r="A29" s="2">
        <v>18719</v>
      </c>
      <c r="B29" s="3">
        <v>163</v>
      </c>
      <c r="D29" s="3">
        <v>1</v>
      </c>
      <c r="E29" s="3">
        <v>163</v>
      </c>
      <c r="F29" s="3">
        <v>172</v>
      </c>
      <c r="G29" s="3">
        <v>178</v>
      </c>
      <c r="H29" s="3">
        <v>199</v>
      </c>
      <c r="I29" s="3">
        <v>199</v>
      </c>
      <c r="J29" s="3">
        <v>184</v>
      </c>
      <c r="L29" s="3">
        <v>162</v>
      </c>
      <c r="N29" s="3">
        <f>SUMPRODUCT(D29:J29,$D$142:$J$142)</f>
        <v>182.44647618521563</v>
      </c>
      <c r="O29" s="3">
        <f>SUMPRODUCT(D29:J29,$D$143:$J$143)</f>
        <v>182.44545977626876</v>
      </c>
      <c r="R29" s="2">
        <v>18719</v>
      </c>
      <c r="S29" s="3">
        <v>163</v>
      </c>
      <c r="T29" s="3">
        <f t="shared" si="0"/>
        <v>182.76592563933394</v>
      </c>
      <c r="U29" s="3"/>
    </row>
    <row r="30" spans="1:25" x14ac:dyDescent="0.3">
      <c r="A30" s="2">
        <v>18749</v>
      </c>
      <c r="B30" s="3">
        <v>172</v>
      </c>
      <c r="D30" s="3">
        <v>1</v>
      </c>
      <c r="E30" s="3">
        <v>172</v>
      </c>
      <c r="F30" s="3">
        <v>178</v>
      </c>
      <c r="G30" s="3">
        <v>199</v>
      </c>
      <c r="H30" s="3">
        <v>199</v>
      </c>
      <c r="I30" s="3">
        <v>184</v>
      </c>
      <c r="J30" s="3">
        <v>162</v>
      </c>
      <c r="L30" s="3">
        <v>146</v>
      </c>
      <c r="N30" s="3">
        <f>SUMPRODUCT(D30:J30,$D$142:$J$142)</f>
        <v>158.45433126098595</v>
      </c>
      <c r="O30" s="3">
        <f>SUMPRODUCT(D30:J30,$D$143:$J$143)</f>
        <v>158.45371655272714</v>
      </c>
      <c r="R30" s="2">
        <v>18749</v>
      </c>
      <c r="S30" s="3">
        <v>172</v>
      </c>
      <c r="T30" s="3">
        <f t="shared" si="0"/>
        <v>158.90046375626818</v>
      </c>
      <c r="U30" s="3"/>
    </row>
    <row r="31" spans="1:25" x14ac:dyDescent="0.3">
      <c r="A31" s="2">
        <v>18780</v>
      </c>
      <c r="B31" s="3">
        <v>178</v>
      </c>
      <c r="D31" s="3">
        <v>1</v>
      </c>
      <c r="E31" s="3">
        <v>178</v>
      </c>
      <c r="F31" s="3">
        <v>199</v>
      </c>
      <c r="G31" s="3">
        <v>199</v>
      </c>
      <c r="H31" s="3">
        <v>184</v>
      </c>
      <c r="I31" s="3">
        <v>162</v>
      </c>
      <c r="J31" s="3">
        <v>146</v>
      </c>
      <c r="L31" s="3">
        <v>166</v>
      </c>
      <c r="N31" s="3">
        <f>SUMPRODUCT(D31:J31,$D$142:$J$142)</f>
        <v>152.78902854948871</v>
      </c>
      <c r="O31" s="3">
        <f>SUMPRODUCT(D31:J31,$D$143:$J$143)</f>
        <v>152.78794482298454</v>
      </c>
      <c r="R31" s="2">
        <v>18780</v>
      </c>
      <c r="S31" s="3">
        <v>178</v>
      </c>
      <c r="T31" s="3">
        <f t="shared" si="0"/>
        <v>180.38525752247244</v>
      </c>
      <c r="U31" s="3"/>
    </row>
    <row r="32" spans="1:25" x14ac:dyDescent="0.3">
      <c r="A32" s="2">
        <v>18810</v>
      </c>
      <c r="B32" s="3">
        <v>199</v>
      </c>
      <c r="D32" s="3">
        <v>1</v>
      </c>
      <c r="E32" s="3">
        <v>199</v>
      </c>
      <c r="F32" s="3">
        <v>199</v>
      </c>
      <c r="G32" s="3">
        <v>184</v>
      </c>
      <c r="H32" s="3">
        <v>162</v>
      </c>
      <c r="I32" s="3">
        <v>146</v>
      </c>
      <c r="J32" s="3">
        <v>166</v>
      </c>
      <c r="L32" s="3">
        <v>171</v>
      </c>
      <c r="N32" s="3">
        <f>SUMPRODUCT(D32:J32,$D$142:$J$142)</f>
        <v>185.1016351535423</v>
      </c>
      <c r="O32" s="3">
        <f>SUMPRODUCT(D32:J32,$D$143:$J$143)</f>
        <v>185.10187395069084</v>
      </c>
      <c r="R32" s="2">
        <v>18810</v>
      </c>
      <c r="S32" s="3">
        <v>199</v>
      </c>
      <c r="T32" s="3">
        <f t="shared" si="0"/>
        <v>177.25352479886584</v>
      </c>
      <c r="U32" s="3"/>
    </row>
    <row r="33" spans="1:21" x14ac:dyDescent="0.3">
      <c r="A33" s="2">
        <v>18841</v>
      </c>
      <c r="B33" s="3">
        <v>199</v>
      </c>
      <c r="D33" s="3">
        <v>1</v>
      </c>
      <c r="E33" s="3">
        <v>199</v>
      </c>
      <c r="F33" s="3">
        <v>184</v>
      </c>
      <c r="G33" s="3">
        <v>162</v>
      </c>
      <c r="H33" s="3">
        <v>146</v>
      </c>
      <c r="I33" s="3">
        <v>166</v>
      </c>
      <c r="J33" s="3">
        <v>171</v>
      </c>
      <c r="L33" s="3">
        <v>180</v>
      </c>
      <c r="N33" s="3">
        <f>SUMPRODUCT(D33:J33,$D$142:$J$142)</f>
        <v>179.50656251149596</v>
      </c>
      <c r="O33" s="3">
        <f>SUMPRODUCT(D33:J33,$D$143:$J$143)</f>
        <v>179.50697876853673</v>
      </c>
      <c r="R33" s="2">
        <v>18841</v>
      </c>
      <c r="S33" s="3">
        <v>199</v>
      </c>
      <c r="T33" s="3">
        <f t="shared" si="0"/>
        <v>214.09942156701067</v>
      </c>
      <c r="U33" s="3"/>
    </row>
    <row r="34" spans="1:21" x14ac:dyDescent="0.3">
      <c r="A34" s="2">
        <v>18872</v>
      </c>
      <c r="B34" s="3">
        <v>184</v>
      </c>
      <c r="D34" s="3">
        <v>1</v>
      </c>
      <c r="E34" s="3">
        <v>184</v>
      </c>
      <c r="F34" s="3">
        <v>162</v>
      </c>
      <c r="G34" s="3">
        <v>146</v>
      </c>
      <c r="H34" s="3">
        <v>166</v>
      </c>
      <c r="I34" s="3">
        <v>171</v>
      </c>
      <c r="J34" s="3">
        <v>180</v>
      </c>
      <c r="L34" s="3">
        <v>193</v>
      </c>
      <c r="N34" s="3">
        <f>SUMPRODUCT(D34:J34,$D$142:$J$142)</f>
        <v>188.61371724718458</v>
      </c>
      <c r="O34" s="3">
        <f>SUMPRODUCT(D34:J34,$D$143:$J$143)</f>
        <v>188.61380300080907</v>
      </c>
      <c r="R34" s="2">
        <v>18872</v>
      </c>
      <c r="S34" s="3">
        <v>184</v>
      </c>
      <c r="T34" s="3">
        <f t="shared" si="0"/>
        <v>196.40501060664792</v>
      </c>
      <c r="U34" s="3"/>
    </row>
    <row r="35" spans="1:21" x14ac:dyDescent="0.3">
      <c r="A35" s="2">
        <v>18902</v>
      </c>
      <c r="B35" s="3">
        <v>162</v>
      </c>
      <c r="D35" s="3">
        <v>1</v>
      </c>
      <c r="E35" s="3">
        <v>162</v>
      </c>
      <c r="F35" s="3">
        <v>146</v>
      </c>
      <c r="G35" s="3">
        <v>166</v>
      </c>
      <c r="H35" s="3">
        <v>171</v>
      </c>
      <c r="I35" s="3">
        <v>180</v>
      </c>
      <c r="J35" s="3">
        <v>193</v>
      </c>
      <c r="L35" s="3">
        <v>181</v>
      </c>
      <c r="N35" s="3">
        <f>SUMPRODUCT(D35:J35,$D$142:$J$142)</f>
        <v>193.86272028215572</v>
      </c>
      <c r="O35" s="3">
        <f>SUMPRODUCT(D35:J35,$D$143:$J$143)</f>
        <v>193.86355414556408</v>
      </c>
      <c r="R35" s="2">
        <v>18902</v>
      </c>
      <c r="S35" s="3">
        <v>162</v>
      </c>
      <c r="T35" s="3">
        <f t="shared" si="0"/>
        <v>182.44545977626876</v>
      </c>
      <c r="U35" s="3"/>
    </row>
    <row r="36" spans="1:21" x14ac:dyDescent="0.3">
      <c r="A36" s="2">
        <v>18933</v>
      </c>
      <c r="B36" s="3">
        <v>146</v>
      </c>
      <c r="D36" s="3">
        <v>1</v>
      </c>
      <c r="E36" s="3">
        <v>146</v>
      </c>
      <c r="F36" s="3">
        <v>166</v>
      </c>
      <c r="G36" s="3">
        <v>171</v>
      </c>
      <c r="H36" s="3">
        <v>180</v>
      </c>
      <c r="I36" s="3">
        <v>193</v>
      </c>
      <c r="J36" s="3">
        <v>181</v>
      </c>
      <c r="L36" s="3">
        <v>183</v>
      </c>
      <c r="N36" s="3">
        <f>SUMPRODUCT(D36:J36,$D$142:$J$142)</f>
        <v>179.58788779118299</v>
      </c>
      <c r="O36" s="3">
        <f>SUMPRODUCT(D36:J36,$D$143:$J$143)</f>
        <v>179.58685176100616</v>
      </c>
      <c r="R36" s="2">
        <v>18933</v>
      </c>
      <c r="S36" s="3">
        <v>146</v>
      </c>
      <c r="T36" s="3">
        <f t="shared" si="0"/>
        <v>158.45371655272714</v>
      </c>
      <c r="U36" s="3"/>
    </row>
    <row r="37" spans="1:21" x14ac:dyDescent="0.3">
      <c r="A37" s="2">
        <v>18963</v>
      </c>
      <c r="B37" s="3">
        <v>166</v>
      </c>
      <c r="D37" s="3">
        <v>1</v>
      </c>
      <c r="E37" s="3">
        <v>166</v>
      </c>
      <c r="F37" s="3">
        <v>171</v>
      </c>
      <c r="G37" s="3">
        <v>180</v>
      </c>
      <c r="H37" s="3">
        <v>193</v>
      </c>
      <c r="I37" s="3">
        <v>181</v>
      </c>
      <c r="J37" s="3">
        <v>183</v>
      </c>
      <c r="L37" s="3">
        <v>218</v>
      </c>
      <c r="N37" s="3">
        <f>SUMPRODUCT(D37:J37,$D$142:$J$142)</f>
        <v>188.18029264365367</v>
      </c>
      <c r="O37" s="3">
        <f>SUMPRODUCT(D37:J37,$D$143:$J$143)</f>
        <v>188.17983402858798</v>
      </c>
      <c r="R37" s="2">
        <v>18963</v>
      </c>
      <c r="S37" s="3">
        <v>166</v>
      </c>
      <c r="T37" s="3">
        <f t="shared" si="0"/>
        <v>152.78794482298454</v>
      </c>
      <c r="U37" s="3"/>
    </row>
    <row r="38" spans="1:21" x14ac:dyDescent="0.3">
      <c r="A38" s="2">
        <v>18994</v>
      </c>
      <c r="B38" s="3">
        <v>171</v>
      </c>
      <c r="D38" s="3">
        <v>1</v>
      </c>
      <c r="E38" s="3">
        <v>171</v>
      </c>
      <c r="F38" s="3">
        <v>180</v>
      </c>
      <c r="G38" s="3">
        <v>193</v>
      </c>
      <c r="H38" s="3">
        <v>181</v>
      </c>
      <c r="I38" s="3">
        <v>183</v>
      </c>
      <c r="J38" s="3">
        <v>218</v>
      </c>
      <c r="L38" s="3">
        <v>230</v>
      </c>
      <c r="N38" s="3">
        <f>SUMPRODUCT(D38:J38,$D$142:$J$142)</f>
        <v>230.45353570019461</v>
      </c>
      <c r="O38" s="3">
        <f>SUMPRODUCT(D38:J38,$D$143:$J$143)</f>
        <v>230.45427986866281</v>
      </c>
      <c r="R38" s="2">
        <v>18994</v>
      </c>
      <c r="S38" s="3">
        <v>171</v>
      </c>
      <c r="T38" s="3">
        <f t="shared" si="0"/>
        <v>185.10187395069084</v>
      </c>
      <c r="U38" s="3"/>
    </row>
    <row r="39" spans="1:21" x14ac:dyDescent="0.3">
      <c r="A39" s="2">
        <v>19025</v>
      </c>
      <c r="B39" s="3">
        <v>180</v>
      </c>
      <c r="D39" s="3">
        <v>1</v>
      </c>
      <c r="E39" s="3">
        <v>180</v>
      </c>
      <c r="F39" s="3">
        <v>193</v>
      </c>
      <c r="G39" s="3">
        <v>181</v>
      </c>
      <c r="H39" s="3">
        <v>183</v>
      </c>
      <c r="I39" s="3">
        <v>218</v>
      </c>
      <c r="J39" s="3">
        <v>230</v>
      </c>
      <c r="L39" s="3">
        <v>242</v>
      </c>
      <c r="N39" s="3">
        <f>SUMPRODUCT(D39:J39,$D$142:$J$142)</f>
        <v>235.15975744902076</v>
      </c>
      <c r="O39" s="3">
        <f>SUMPRODUCT(D39:J39,$D$143:$J$143)</f>
        <v>235.15955984295533</v>
      </c>
      <c r="R39" s="2">
        <v>19025</v>
      </c>
      <c r="S39" s="3">
        <v>180</v>
      </c>
      <c r="T39" s="3">
        <f t="shared" si="0"/>
        <v>179.50697876853673</v>
      </c>
      <c r="U39" s="3"/>
    </row>
    <row r="40" spans="1:21" x14ac:dyDescent="0.3">
      <c r="A40" s="2">
        <v>19054</v>
      </c>
      <c r="B40" s="3">
        <v>193</v>
      </c>
      <c r="D40" s="3">
        <v>1</v>
      </c>
      <c r="E40" s="3">
        <v>193</v>
      </c>
      <c r="F40" s="3">
        <v>181</v>
      </c>
      <c r="G40" s="3">
        <v>183</v>
      </c>
      <c r="H40" s="3">
        <v>218</v>
      </c>
      <c r="I40" s="3">
        <v>230</v>
      </c>
      <c r="J40" s="3">
        <v>242</v>
      </c>
      <c r="L40" s="3">
        <v>209</v>
      </c>
      <c r="N40" s="3">
        <f>SUMPRODUCT(D40:J40,$D$142:$J$142)</f>
        <v>244.42172321004614</v>
      </c>
      <c r="O40" s="3">
        <f>SUMPRODUCT(D40:J40,$D$143:$J$143)</f>
        <v>244.42181070779191</v>
      </c>
      <c r="R40" s="2">
        <v>19054</v>
      </c>
      <c r="S40" s="3">
        <v>193</v>
      </c>
      <c r="T40" s="3">
        <f t="shared" si="0"/>
        <v>188.61380300080907</v>
      </c>
      <c r="U40" s="3"/>
    </row>
    <row r="41" spans="1:21" x14ac:dyDescent="0.3">
      <c r="A41" s="2">
        <v>19085</v>
      </c>
      <c r="B41" s="3">
        <v>181</v>
      </c>
      <c r="D41" s="3">
        <v>1</v>
      </c>
      <c r="E41" s="3">
        <v>181</v>
      </c>
      <c r="F41" s="3">
        <v>183</v>
      </c>
      <c r="G41" s="3">
        <v>218</v>
      </c>
      <c r="H41" s="3">
        <v>230</v>
      </c>
      <c r="I41" s="3">
        <v>242</v>
      </c>
      <c r="J41" s="3">
        <v>209</v>
      </c>
      <c r="L41" s="3">
        <v>191</v>
      </c>
      <c r="N41" s="3">
        <f>SUMPRODUCT(D41:J41,$D$142:$J$142)</f>
        <v>191.97121263876312</v>
      </c>
      <c r="O41" s="3">
        <f>SUMPRODUCT(D41:J41,$D$143:$J$143)</f>
        <v>191.97081470580159</v>
      </c>
      <c r="R41" s="2">
        <v>19085</v>
      </c>
      <c r="S41" s="3">
        <v>181</v>
      </c>
      <c r="T41" s="3">
        <f t="shared" si="0"/>
        <v>193.86355414556408</v>
      </c>
      <c r="U41" s="3"/>
    </row>
    <row r="42" spans="1:21" x14ac:dyDescent="0.3">
      <c r="A42" s="2">
        <v>19115</v>
      </c>
      <c r="B42" s="3">
        <v>183</v>
      </c>
      <c r="D42" s="3">
        <v>1</v>
      </c>
      <c r="E42" s="3">
        <v>183</v>
      </c>
      <c r="F42" s="3">
        <v>218</v>
      </c>
      <c r="G42" s="3">
        <v>230</v>
      </c>
      <c r="H42" s="3">
        <v>242</v>
      </c>
      <c r="I42" s="3">
        <v>209</v>
      </c>
      <c r="J42" s="3">
        <v>191</v>
      </c>
      <c r="L42" s="3">
        <v>172</v>
      </c>
      <c r="N42" s="3">
        <f>SUMPRODUCT(D42:J42,$D$142:$J$142)</f>
        <v>194.84249416638744</v>
      </c>
      <c r="O42" s="3">
        <f>SUMPRODUCT(D42:J42,$D$143:$J$143)</f>
        <v>194.84073584168158</v>
      </c>
      <c r="R42" s="2">
        <v>19115</v>
      </c>
      <c r="S42" s="3">
        <v>183</v>
      </c>
      <c r="T42" s="3">
        <f t="shared" si="0"/>
        <v>179.58685176100616</v>
      </c>
      <c r="U42" s="3"/>
    </row>
    <row r="43" spans="1:21" x14ac:dyDescent="0.3">
      <c r="A43" s="2">
        <v>19146</v>
      </c>
      <c r="B43" s="3">
        <v>218</v>
      </c>
      <c r="D43" s="3">
        <v>1</v>
      </c>
      <c r="E43" s="3">
        <v>218</v>
      </c>
      <c r="F43" s="3">
        <v>230</v>
      </c>
      <c r="G43" s="3">
        <v>242</v>
      </c>
      <c r="H43" s="3">
        <v>209</v>
      </c>
      <c r="I43" s="3">
        <v>191</v>
      </c>
      <c r="J43" s="3">
        <v>172</v>
      </c>
      <c r="L43" s="3">
        <v>194</v>
      </c>
      <c r="N43" s="3">
        <f>SUMPRODUCT(D43:J43,$D$142:$J$142)</f>
        <v>173.88789555040992</v>
      </c>
      <c r="O43" s="3">
        <f>SUMPRODUCT(D43:J43,$D$143:$J$143)</f>
        <v>173.88765168867127</v>
      </c>
      <c r="R43" s="2">
        <v>19146</v>
      </c>
      <c r="S43" s="3">
        <v>218</v>
      </c>
      <c r="T43" s="3">
        <f t="shared" si="0"/>
        <v>188.17983402858798</v>
      </c>
      <c r="U43" s="3"/>
    </row>
    <row r="44" spans="1:21" x14ac:dyDescent="0.3">
      <c r="A44" s="2">
        <v>19176</v>
      </c>
      <c r="B44" s="3">
        <v>230</v>
      </c>
      <c r="D44" s="3">
        <v>1</v>
      </c>
      <c r="E44" s="3">
        <v>230</v>
      </c>
      <c r="F44" s="3">
        <v>242</v>
      </c>
      <c r="G44" s="3">
        <v>209</v>
      </c>
      <c r="H44" s="3">
        <v>191</v>
      </c>
      <c r="I44" s="3">
        <v>172</v>
      </c>
      <c r="J44" s="3">
        <v>194</v>
      </c>
      <c r="L44" s="3">
        <v>196</v>
      </c>
      <c r="N44" s="3">
        <f>SUMPRODUCT(D44:J44,$D$142:$J$142)</f>
        <v>218.78589608806351</v>
      </c>
      <c r="O44" s="3">
        <f>SUMPRODUCT(D44:J44,$D$143:$J$143)</f>
        <v>218.78556557231394</v>
      </c>
      <c r="R44" s="2">
        <v>19176</v>
      </c>
      <c r="S44" s="3">
        <v>230</v>
      </c>
      <c r="T44" s="3">
        <f t="shared" si="0"/>
        <v>230.45427986866281</v>
      </c>
      <c r="U44" s="3"/>
    </row>
    <row r="45" spans="1:21" x14ac:dyDescent="0.3">
      <c r="A45" s="2">
        <v>19207</v>
      </c>
      <c r="B45" s="3">
        <v>242</v>
      </c>
      <c r="D45" s="3">
        <v>1</v>
      </c>
      <c r="E45" s="3">
        <v>242</v>
      </c>
      <c r="F45" s="3">
        <v>209</v>
      </c>
      <c r="G45" s="3">
        <v>191</v>
      </c>
      <c r="H45" s="3">
        <v>172</v>
      </c>
      <c r="I45" s="3">
        <v>194</v>
      </c>
      <c r="J45" s="3">
        <v>196</v>
      </c>
      <c r="L45" s="3">
        <v>196</v>
      </c>
      <c r="N45" s="3">
        <f>SUMPRODUCT(D45:J45,$D$142:$J$142)</f>
        <v>200.73867069866253</v>
      </c>
      <c r="O45" s="3">
        <f>SUMPRODUCT(D45:J45,$D$143:$J$143)</f>
        <v>200.73979855279137</v>
      </c>
      <c r="R45" s="2">
        <v>19207</v>
      </c>
      <c r="S45" s="3">
        <v>242</v>
      </c>
      <c r="T45" s="3">
        <f t="shared" si="0"/>
        <v>235.15955984295533</v>
      </c>
      <c r="U45" s="3"/>
    </row>
    <row r="46" spans="1:21" x14ac:dyDescent="0.3">
      <c r="A46" s="2">
        <v>19238</v>
      </c>
      <c r="B46" s="3">
        <v>209</v>
      </c>
      <c r="D46" s="3">
        <v>1</v>
      </c>
      <c r="E46" s="3">
        <v>209</v>
      </c>
      <c r="F46" s="3">
        <v>191</v>
      </c>
      <c r="G46" s="3">
        <v>172</v>
      </c>
      <c r="H46" s="3">
        <v>194</v>
      </c>
      <c r="I46" s="3">
        <v>196</v>
      </c>
      <c r="J46" s="3">
        <v>196</v>
      </c>
      <c r="L46" s="3">
        <v>236</v>
      </c>
      <c r="N46" s="3">
        <f>SUMPRODUCT(D46:J46,$D$142:$J$142)</f>
        <v>202.99414193536603</v>
      </c>
      <c r="O46" s="3">
        <f>SUMPRODUCT(D46:J46,$D$143:$J$143)</f>
        <v>202.99390612125987</v>
      </c>
      <c r="R46" s="2">
        <v>19238</v>
      </c>
      <c r="S46" s="3">
        <v>209</v>
      </c>
      <c r="T46" s="3">
        <f t="shared" si="0"/>
        <v>244.42181070779191</v>
      </c>
      <c r="U46" s="3"/>
    </row>
    <row r="47" spans="1:21" x14ac:dyDescent="0.3">
      <c r="A47" s="2">
        <v>19268</v>
      </c>
      <c r="B47" s="3">
        <v>191</v>
      </c>
      <c r="D47" s="3">
        <v>1</v>
      </c>
      <c r="E47" s="3">
        <v>191</v>
      </c>
      <c r="F47" s="3">
        <v>172</v>
      </c>
      <c r="G47" s="3">
        <v>194</v>
      </c>
      <c r="H47" s="3">
        <v>196</v>
      </c>
      <c r="I47" s="3">
        <v>196</v>
      </c>
      <c r="J47" s="3">
        <v>236</v>
      </c>
      <c r="L47" s="3">
        <v>235</v>
      </c>
      <c r="N47" s="3">
        <f>SUMPRODUCT(D47:J47,$D$142:$J$142)</f>
        <v>245.31167800666037</v>
      </c>
      <c r="O47" s="3">
        <f>SUMPRODUCT(D47:J47,$D$143:$J$143)</f>
        <v>245.31329843004167</v>
      </c>
      <c r="R47" s="2">
        <v>19268</v>
      </c>
      <c r="S47" s="3">
        <v>191</v>
      </c>
      <c r="T47" s="3">
        <f t="shared" si="0"/>
        <v>191.97081470580159</v>
      </c>
      <c r="U47" s="3"/>
    </row>
    <row r="48" spans="1:21" x14ac:dyDescent="0.3">
      <c r="A48" s="2">
        <v>19299</v>
      </c>
      <c r="B48" s="3">
        <v>172</v>
      </c>
      <c r="D48" s="3">
        <v>1</v>
      </c>
      <c r="E48" s="3">
        <v>172</v>
      </c>
      <c r="F48" s="3">
        <v>194</v>
      </c>
      <c r="G48" s="3">
        <v>196</v>
      </c>
      <c r="H48" s="3">
        <v>196</v>
      </c>
      <c r="I48" s="3">
        <v>236</v>
      </c>
      <c r="J48" s="3">
        <v>235</v>
      </c>
      <c r="L48" s="3">
        <v>229</v>
      </c>
      <c r="N48" s="3">
        <f>SUMPRODUCT(D48:J48,$D$142:$J$142)</f>
        <v>232.3197798507438</v>
      </c>
      <c r="O48" s="3">
        <f>SUMPRODUCT(D48:J48,$D$143:$J$143)</f>
        <v>232.31934989612986</v>
      </c>
      <c r="R48" s="2">
        <v>19299</v>
      </c>
      <c r="S48" s="3">
        <v>172</v>
      </c>
      <c r="T48" s="3">
        <f t="shared" si="0"/>
        <v>194.84073584168158</v>
      </c>
      <c r="U48" s="3"/>
    </row>
    <row r="49" spans="1:21" x14ac:dyDescent="0.3">
      <c r="A49" s="2">
        <v>19329</v>
      </c>
      <c r="B49" s="3">
        <v>194</v>
      </c>
      <c r="D49" s="3">
        <v>1</v>
      </c>
      <c r="E49" s="3">
        <v>194</v>
      </c>
      <c r="F49" s="3">
        <v>196</v>
      </c>
      <c r="G49" s="3">
        <v>196</v>
      </c>
      <c r="H49" s="3">
        <v>236</v>
      </c>
      <c r="I49" s="3">
        <v>235</v>
      </c>
      <c r="J49" s="3">
        <v>229</v>
      </c>
      <c r="L49" s="3">
        <v>243</v>
      </c>
      <c r="N49" s="3">
        <f>SUMPRODUCT(D49:J49,$D$142:$J$142)</f>
        <v>229.66154897814499</v>
      </c>
      <c r="O49" s="3">
        <f>SUMPRODUCT(D49:J49,$D$143:$J$143)</f>
        <v>229.66064256272199</v>
      </c>
      <c r="R49" s="2">
        <v>19329</v>
      </c>
      <c r="S49" s="3">
        <v>194</v>
      </c>
      <c r="T49" s="3">
        <f t="shared" si="0"/>
        <v>173.88765168867127</v>
      </c>
      <c r="U49" s="3"/>
    </row>
    <row r="50" spans="1:21" x14ac:dyDescent="0.3">
      <c r="A50" s="2">
        <v>19360</v>
      </c>
      <c r="B50" s="3">
        <v>196</v>
      </c>
      <c r="D50" s="3">
        <v>1</v>
      </c>
      <c r="E50" s="3">
        <v>196</v>
      </c>
      <c r="F50" s="3">
        <v>196</v>
      </c>
      <c r="G50" s="3">
        <v>236</v>
      </c>
      <c r="H50" s="3">
        <v>235</v>
      </c>
      <c r="I50" s="3">
        <v>229</v>
      </c>
      <c r="J50" s="3">
        <v>243</v>
      </c>
      <c r="L50" s="3">
        <v>264</v>
      </c>
      <c r="N50" s="3">
        <f>SUMPRODUCT(D50:J50,$D$142:$J$142)</f>
        <v>242.0977537374975</v>
      </c>
      <c r="O50" s="3">
        <f>SUMPRODUCT(D50:J50,$D$143:$J$143)</f>
        <v>242.09862431939371</v>
      </c>
      <c r="R50" s="2">
        <v>19360</v>
      </c>
      <c r="S50" s="3">
        <v>196</v>
      </c>
      <c r="T50" s="3">
        <f t="shared" si="0"/>
        <v>218.78556557231394</v>
      </c>
      <c r="U50" s="3"/>
    </row>
    <row r="51" spans="1:21" x14ac:dyDescent="0.3">
      <c r="A51" s="2">
        <v>19391</v>
      </c>
      <c r="B51" s="3">
        <v>196</v>
      </c>
      <c r="D51" s="3">
        <v>1</v>
      </c>
      <c r="E51" s="3">
        <v>196</v>
      </c>
      <c r="F51" s="3">
        <v>236</v>
      </c>
      <c r="G51" s="3">
        <v>235</v>
      </c>
      <c r="H51" s="3">
        <v>229</v>
      </c>
      <c r="I51" s="3">
        <v>243</v>
      </c>
      <c r="J51" s="3">
        <v>264</v>
      </c>
      <c r="L51" s="3">
        <v>272</v>
      </c>
      <c r="N51" s="3">
        <f>SUMPRODUCT(D51:J51,$D$142:$J$142)</f>
        <v>274.28282744173163</v>
      </c>
      <c r="O51" s="3">
        <f>SUMPRODUCT(D51:J51,$D$143:$J$143)</f>
        <v>274.28229426562973</v>
      </c>
      <c r="R51" s="2">
        <v>19391</v>
      </c>
      <c r="S51" s="3">
        <v>196</v>
      </c>
      <c r="T51" s="3">
        <f t="shared" si="0"/>
        <v>200.73979855279137</v>
      </c>
      <c r="U51" s="3"/>
    </row>
    <row r="52" spans="1:21" x14ac:dyDescent="0.3">
      <c r="A52" s="2">
        <v>19419</v>
      </c>
      <c r="B52" s="3">
        <v>236</v>
      </c>
      <c r="D52" s="3">
        <v>1</v>
      </c>
      <c r="E52" s="3">
        <v>236</v>
      </c>
      <c r="F52" s="3">
        <v>235</v>
      </c>
      <c r="G52" s="3">
        <v>229</v>
      </c>
      <c r="H52" s="3">
        <v>243</v>
      </c>
      <c r="I52" s="3">
        <v>264</v>
      </c>
      <c r="J52" s="3">
        <v>272</v>
      </c>
      <c r="L52" s="3">
        <v>237</v>
      </c>
      <c r="N52" s="3">
        <f>SUMPRODUCT(D52:J52,$D$142:$J$142)</f>
        <v>274.66351152443542</v>
      </c>
      <c r="O52" s="3">
        <f>SUMPRODUCT(D52:J52,$D$143:$J$143)</f>
        <v>274.6636204635347</v>
      </c>
      <c r="R52" s="2">
        <v>19419</v>
      </c>
      <c r="S52" s="3">
        <v>236</v>
      </c>
      <c r="T52" s="3">
        <f t="shared" si="0"/>
        <v>202.99390612125987</v>
      </c>
      <c r="U52" s="3"/>
    </row>
    <row r="53" spans="1:21" x14ac:dyDescent="0.3">
      <c r="A53" s="2">
        <v>19450</v>
      </c>
      <c r="B53" s="3">
        <v>235</v>
      </c>
      <c r="D53" s="3">
        <v>1</v>
      </c>
      <c r="E53" s="3">
        <v>235</v>
      </c>
      <c r="F53" s="3">
        <v>229</v>
      </c>
      <c r="G53" s="3">
        <v>243</v>
      </c>
      <c r="H53" s="3">
        <v>264</v>
      </c>
      <c r="I53" s="3">
        <v>272</v>
      </c>
      <c r="J53" s="3">
        <v>237</v>
      </c>
      <c r="L53" s="3">
        <v>211</v>
      </c>
      <c r="N53" s="3">
        <f>SUMPRODUCT(D53:J53,$D$142:$J$142)</f>
        <v>223.88738304263228</v>
      </c>
      <c r="O53" s="3">
        <f>SUMPRODUCT(D53:J53,$D$143:$J$143)</f>
        <v>223.88681367679493</v>
      </c>
      <c r="R53" s="2">
        <v>19450</v>
      </c>
      <c r="S53" s="3">
        <v>235</v>
      </c>
      <c r="T53" s="3">
        <f t="shared" si="0"/>
        <v>245.31329843004167</v>
      </c>
      <c r="U53" s="3"/>
    </row>
    <row r="54" spans="1:21" x14ac:dyDescent="0.3">
      <c r="A54" s="2">
        <v>19480</v>
      </c>
      <c r="B54" s="3">
        <v>229</v>
      </c>
      <c r="D54" s="3">
        <v>1</v>
      </c>
      <c r="E54" s="3">
        <v>229</v>
      </c>
      <c r="F54" s="3">
        <v>243</v>
      </c>
      <c r="G54" s="3">
        <v>264</v>
      </c>
      <c r="H54" s="3">
        <v>272</v>
      </c>
      <c r="I54" s="3">
        <v>237</v>
      </c>
      <c r="J54" s="3">
        <v>211</v>
      </c>
      <c r="L54" s="3">
        <v>180</v>
      </c>
      <c r="N54" s="3">
        <f>SUMPRODUCT(D54:J54,$D$142:$J$142)</f>
        <v>208.96529018278324</v>
      </c>
      <c r="O54" s="3">
        <f>SUMPRODUCT(D54:J54,$D$143:$J$143)</f>
        <v>208.96429350699287</v>
      </c>
      <c r="R54" s="2">
        <v>19480</v>
      </c>
      <c r="S54" s="3">
        <v>229</v>
      </c>
      <c r="T54" s="3">
        <f t="shared" si="0"/>
        <v>232.31934989612986</v>
      </c>
      <c r="U54" s="3"/>
    </row>
    <row r="55" spans="1:21" x14ac:dyDescent="0.3">
      <c r="A55" s="2">
        <v>19511</v>
      </c>
      <c r="B55" s="3">
        <v>243</v>
      </c>
      <c r="D55" s="3">
        <v>1</v>
      </c>
      <c r="E55" s="3">
        <v>243</v>
      </c>
      <c r="F55" s="3">
        <v>264</v>
      </c>
      <c r="G55" s="3">
        <v>272</v>
      </c>
      <c r="H55" s="3">
        <v>237</v>
      </c>
      <c r="I55" s="3">
        <v>211</v>
      </c>
      <c r="J55" s="3">
        <v>180</v>
      </c>
      <c r="L55" s="3">
        <v>201</v>
      </c>
      <c r="N55" s="3">
        <f>SUMPRODUCT(D55:J55,$D$142:$J$142)</f>
        <v>181.16000336380012</v>
      </c>
      <c r="O55" s="3">
        <f>SUMPRODUCT(D55:J55,$D$143:$J$143)</f>
        <v>181.15923330173339</v>
      </c>
      <c r="R55" s="2">
        <v>19511</v>
      </c>
      <c r="S55" s="3">
        <v>243</v>
      </c>
      <c r="T55" s="3">
        <f t="shared" si="0"/>
        <v>229.66064256272199</v>
      </c>
      <c r="U55" s="3"/>
    </row>
    <row r="56" spans="1:21" x14ac:dyDescent="0.3">
      <c r="A56" s="2">
        <v>19541</v>
      </c>
      <c r="B56" s="3">
        <v>264</v>
      </c>
      <c r="D56" s="3">
        <v>1</v>
      </c>
      <c r="E56" s="3">
        <v>264</v>
      </c>
      <c r="F56" s="3">
        <v>272</v>
      </c>
      <c r="G56" s="3">
        <v>237</v>
      </c>
      <c r="H56" s="3">
        <v>211</v>
      </c>
      <c r="I56" s="3">
        <v>180</v>
      </c>
      <c r="J56" s="3">
        <v>201</v>
      </c>
      <c r="L56" s="3">
        <v>204</v>
      </c>
      <c r="N56" s="3">
        <f>SUMPRODUCT(D56:J56,$D$142:$J$142)</f>
        <v>228.12037759100932</v>
      </c>
      <c r="O56" s="3">
        <f>SUMPRODUCT(D56:J56,$D$143:$J$143)</f>
        <v>228.12023376415425</v>
      </c>
      <c r="R56" s="2">
        <v>19541</v>
      </c>
      <c r="S56" s="3">
        <v>264</v>
      </c>
      <c r="T56" s="3">
        <f t="shared" si="0"/>
        <v>242.09862431939371</v>
      </c>
      <c r="U56" s="3"/>
    </row>
    <row r="57" spans="1:21" x14ac:dyDescent="0.3">
      <c r="A57" s="2">
        <v>19572</v>
      </c>
      <c r="B57" s="3">
        <v>272</v>
      </c>
      <c r="D57" s="3">
        <v>1</v>
      </c>
      <c r="E57" s="3">
        <v>272</v>
      </c>
      <c r="F57" s="3">
        <v>237</v>
      </c>
      <c r="G57" s="3">
        <v>211</v>
      </c>
      <c r="H57" s="3">
        <v>180</v>
      </c>
      <c r="I57" s="3">
        <v>201</v>
      </c>
      <c r="J57" s="3">
        <v>204</v>
      </c>
      <c r="L57" s="3">
        <v>188</v>
      </c>
      <c r="N57" s="3">
        <f>SUMPRODUCT(D57:J57,$D$142:$J$142)</f>
        <v>211.51263384756214</v>
      </c>
      <c r="O57" s="3">
        <f>SUMPRODUCT(D57:J57,$D$143:$J$143)</f>
        <v>211.5139721802428</v>
      </c>
      <c r="R57" s="2">
        <v>19572</v>
      </c>
      <c r="S57" s="3">
        <v>272</v>
      </c>
      <c r="T57" s="3">
        <f t="shared" si="0"/>
        <v>274.28229426562973</v>
      </c>
      <c r="U57" s="3"/>
    </row>
    <row r="58" spans="1:21" x14ac:dyDescent="0.3">
      <c r="A58" s="2">
        <v>19603</v>
      </c>
      <c r="B58" s="3">
        <v>237</v>
      </c>
      <c r="D58" s="3">
        <v>1</v>
      </c>
      <c r="E58" s="3">
        <v>237</v>
      </c>
      <c r="F58" s="3">
        <v>211</v>
      </c>
      <c r="G58" s="3">
        <v>180</v>
      </c>
      <c r="H58" s="3">
        <v>201</v>
      </c>
      <c r="I58" s="3">
        <v>204</v>
      </c>
      <c r="J58" s="3">
        <v>188</v>
      </c>
      <c r="L58" s="3">
        <v>235</v>
      </c>
      <c r="N58" s="3">
        <f>SUMPRODUCT(D58:J58,$D$142:$J$142)</f>
        <v>192.65763148686503</v>
      </c>
      <c r="O58" s="3">
        <f>SUMPRODUCT(D58:J58,$D$143:$J$143)</f>
        <v>192.6571687393992</v>
      </c>
      <c r="R58" s="2">
        <v>19603</v>
      </c>
      <c r="S58" s="3">
        <v>237</v>
      </c>
      <c r="T58" s="3">
        <f t="shared" si="0"/>
        <v>274.6636204635347</v>
      </c>
      <c r="U58" s="3"/>
    </row>
    <row r="59" spans="1:21" x14ac:dyDescent="0.3">
      <c r="A59" s="2">
        <v>19633</v>
      </c>
      <c r="B59" s="3">
        <v>211</v>
      </c>
      <c r="D59" s="3">
        <v>1</v>
      </c>
      <c r="E59" s="3">
        <v>211</v>
      </c>
      <c r="F59" s="3">
        <v>180</v>
      </c>
      <c r="G59" s="3">
        <v>201</v>
      </c>
      <c r="H59" s="3">
        <v>204</v>
      </c>
      <c r="I59" s="3">
        <v>188</v>
      </c>
      <c r="J59" s="3">
        <v>235</v>
      </c>
      <c r="L59" s="3">
        <v>227</v>
      </c>
      <c r="N59" s="3">
        <f>SUMPRODUCT(D59:J59,$D$142:$J$142)</f>
        <v>248.79745020934973</v>
      </c>
      <c r="O59" s="3">
        <f>SUMPRODUCT(D59:J59,$D$143:$J$143)</f>
        <v>248.79944675771711</v>
      </c>
      <c r="R59" s="2">
        <v>19633</v>
      </c>
      <c r="S59" s="3">
        <v>211</v>
      </c>
      <c r="T59" s="3">
        <f t="shared" si="0"/>
        <v>223.88681367679493</v>
      </c>
      <c r="U59" s="3"/>
    </row>
    <row r="60" spans="1:21" x14ac:dyDescent="0.3">
      <c r="A60" s="2">
        <v>19664</v>
      </c>
      <c r="B60" s="3">
        <v>180</v>
      </c>
      <c r="D60" s="3">
        <v>1</v>
      </c>
      <c r="E60" s="3">
        <v>180</v>
      </c>
      <c r="F60" s="3">
        <v>201</v>
      </c>
      <c r="G60" s="3">
        <v>204</v>
      </c>
      <c r="H60" s="3">
        <v>188</v>
      </c>
      <c r="I60" s="3">
        <v>235</v>
      </c>
      <c r="J60" s="3">
        <v>227</v>
      </c>
      <c r="L60" s="3">
        <v>234</v>
      </c>
      <c r="N60" s="3">
        <f>SUMPRODUCT(D60:J60,$D$142:$J$142)</f>
        <v>221.51718446657162</v>
      </c>
      <c r="O60" s="3">
        <f>SUMPRODUCT(D60:J60,$D$143:$J$143)</f>
        <v>221.51697005766087</v>
      </c>
      <c r="R60" s="2">
        <v>19664</v>
      </c>
      <c r="S60" s="3">
        <v>180</v>
      </c>
      <c r="T60" s="3">
        <f t="shared" si="0"/>
        <v>208.96429350699287</v>
      </c>
      <c r="U60" s="3"/>
    </row>
    <row r="61" spans="1:21" x14ac:dyDescent="0.3">
      <c r="A61" s="2">
        <v>19694</v>
      </c>
      <c r="B61" s="3">
        <v>201</v>
      </c>
      <c r="D61" s="3">
        <v>1</v>
      </c>
      <c r="E61" s="3">
        <v>201</v>
      </c>
      <c r="F61" s="3">
        <v>204</v>
      </c>
      <c r="G61" s="3">
        <v>188</v>
      </c>
      <c r="H61" s="3">
        <v>235</v>
      </c>
      <c r="I61" s="3">
        <v>227</v>
      </c>
      <c r="J61" s="3">
        <v>234</v>
      </c>
      <c r="L61" s="3">
        <v>264</v>
      </c>
      <c r="N61" s="3">
        <f>SUMPRODUCT(D61:J61,$D$142:$J$142)</f>
        <v>243.55479681247186</v>
      </c>
      <c r="O61" s="3">
        <f>SUMPRODUCT(D61:J61,$D$143:$J$143)</f>
        <v>243.55372468245511</v>
      </c>
      <c r="R61" s="2">
        <v>19694</v>
      </c>
      <c r="S61" s="3">
        <v>201</v>
      </c>
      <c r="T61" s="3">
        <f t="shared" si="0"/>
        <v>181.15923330173339</v>
      </c>
      <c r="U61" s="3"/>
    </row>
    <row r="62" spans="1:21" x14ac:dyDescent="0.3">
      <c r="A62" s="2">
        <v>19725</v>
      </c>
      <c r="B62" s="3">
        <v>204</v>
      </c>
      <c r="D62" s="3">
        <v>1</v>
      </c>
      <c r="E62" s="3">
        <v>204</v>
      </c>
      <c r="F62" s="3">
        <v>188</v>
      </c>
      <c r="G62" s="3">
        <v>235</v>
      </c>
      <c r="H62" s="3">
        <v>227</v>
      </c>
      <c r="I62" s="3">
        <v>234</v>
      </c>
      <c r="J62" s="3">
        <v>264</v>
      </c>
      <c r="L62" s="3">
        <v>302</v>
      </c>
      <c r="N62" s="3">
        <f>SUMPRODUCT(D62:J62,$D$142:$J$142)</f>
        <v>262.79550886872312</v>
      </c>
      <c r="O62" s="3">
        <f>SUMPRODUCT(D62:J62,$D$143:$J$143)</f>
        <v>262.79753597803199</v>
      </c>
      <c r="R62" s="2">
        <v>19725</v>
      </c>
      <c r="S62" s="3">
        <v>204</v>
      </c>
      <c r="T62" s="3">
        <f t="shared" si="0"/>
        <v>228.12023376415425</v>
      </c>
      <c r="U62" s="3"/>
    </row>
    <row r="63" spans="1:21" x14ac:dyDescent="0.3">
      <c r="A63" s="2">
        <v>19756</v>
      </c>
      <c r="B63" s="3">
        <v>188</v>
      </c>
      <c r="D63" s="3">
        <v>1</v>
      </c>
      <c r="E63" s="3">
        <v>188</v>
      </c>
      <c r="F63" s="3">
        <v>235</v>
      </c>
      <c r="G63" s="3">
        <v>227</v>
      </c>
      <c r="H63" s="3">
        <v>234</v>
      </c>
      <c r="I63" s="3">
        <v>264</v>
      </c>
      <c r="J63" s="3">
        <v>302</v>
      </c>
      <c r="L63" s="3">
        <v>293</v>
      </c>
      <c r="N63" s="3">
        <f>SUMPRODUCT(D63:J63,$D$142:$J$142)</f>
        <v>315.43667455239006</v>
      </c>
      <c r="O63" s="3">
        <f>SUMPRODUCT(D63:J63,$D$143:$J$143)</f>
        <v>315.43612727328872</v>
      </c>
      <c r="R63" s="2">
        <v>19756</v>
      </c>
      <c r="S63" s="3">
        <v>188</v>
      </c>
      <c r="T63" s="3">
        <f t="shared" si="0"/>
        <v>211.5139721802428</v>
      </c>
      <c r="U63" s="3"/>
    </row>
    <row r="64" spans="1:21" x14ac:dyDescent="0.3">
      <c r="A64" s="2">
        <v>19784</v>
      </c>
      <c r="B64" s="3">
        <v>235</v>
      </c>
      <c r="D64" s="3">
        <v>1</v>
      </c>
      <c r="E64" s="3">
        <v>235</v>
      </c>
      <c r="F64" s="3">
        <v>227</v>
      </c>
      <c r="G64" s="3">
        <v>234</v>
      </c>
      <c r="H64" s="3">
        <v>264</v>
      </c>
      <c r="I64" s="3">
        <v>302</v>
      </c>
      <c r="J64" s="3">
        <v>293</v>
      </c>
      <c r="L64" s="3">
        <v>259</v>
      </c>
      <c r="N64" s="3">
        <f>SUMPRODUCT(D64:J64,$D$142:$J$142)</f>
        <v>282.54176885733756</v>
      </c>
      <c r="O64" s="3">
        <f>SUMPRODUCT(D64:J64,$D$143:$J$143)</f>
        <v>282.54183876920393</v>
      </c>
      <c r="R64" s="2">
        <v>19784</v>
      </c>
      <c r="S64" s="3">
        <v>235</v>
      </c>
      <c r="T64" s="3">
        <f t="shared" si="0"/>
        <v>192.6571687393992</v>
      </c>
      <c r="U64" s="3"/>
    </row>
    <row r="65" spans="1:21" x14ac:dyDescent="0.3">
      <c r="A65" s="2">
        <v>19815</v>
      </c>
      <c r="B65" s="3">
        <v>227</v>
      </c>
      <c r="D65" s="3">
        <v>1</v>
      </c>
      <c r="E65" s="3">
        <v>227</v>
      </c>
      <c r="F65" s="3">
        <v>234</v>
      </c>
      <c r="G65" s="3">
        <v>264</v>
      </c>
      <c r="H65" s="3">
        <v>302</v>
      </c>
      <c r="I65" s="3">
        <v>293</v>
      </c>
      <c r="J65" s="3">
        <v>259</v>
      </c>
      <c r="L65" s="3">
        <v>229</v>
      </c>
      <c r="N65" s="3">
        <f>SUMPRODUCT(D65:J65,$D$142:$J$142)</f>
        <v>244.79127295600568</v>
      </c>
      <c r="O65" s="3">
        <f>SUMPRODUCT(D65:J65,$D$143:$J$143)</f>
        <v>244.79023703681483</v>
      </c>
      <c r="R65" s="2">
        <v>19815</v>
      </c>
      <c r="S65" s="3">
        <v>227</v>
      </c>
      <c r="T65" s="3">
        <f t="shared" si="0"/>
        <v>248.79944675771711</v>
      </c>
      <c r="U65" s="3"/>
    </row>
    <row r="66" spans="1:21" x14ac:dyDescent="0.3">
      <c r="A66" s="2">
        <v>19845</v>
      </c>
      <c r="B66" s="3">
        <v>234</v>
      </c>
      <c r="D66" s="3">
        <v>1</v>
      </c>
      <c r="E66" s="3">
        <v>234</v>
      </c>
      <c r="F66" s="3">
        <v>264</v>
      </c>
      <c r="G66" s="3">
        <v>302</v>
      </c>
      <c r="H66" s="3">
        <v>293</v>
      </c>
      <c r="I66" s="3">
        <v>259</v>
      </c>
      <c r="J66" s="3">
        <v>229</v>
      </c>
      <c r="L66" s="3">
        <v>203</v>
      </c>
      <c r="N66" s="3">
        <f>SUMPRODUCT(D66:J66,$D$142:$J$142)</f>
        <v>222.7118668114453</v>
      </c>
      <c r="O66" s="3">
        <f>SUMPRODUCT(D66:J66,$D$143:$J$143)</f>
        <v>222.71093539367209</v>
      </c>
      <c r="R66" s="2">
        <v>19845</v>
      </c>
      <c r="S66" s="3">
        <v>234</v>
      </c>
      <c r="T66" s="3">
        <f t="shared" si="0"/>
        <v>221.51697005766087</v>
      </c>
      <c r="U66" s="3"/>
    </row>
    <row r="67" spans="1:21" x14ac:dyDescent="0.3">
      <c r="A67" s="2">
        <v>19876</v>
      </c>
      <c r="B67" s="3">
        <v>264</v>
      </c>
      <c r="D67" s="3">
        <v>1</v>
      </c>
      <c r="E67" s="3">
        <v>264</v>
      </c>
      <c r="F67" s="3">
        <v>302</v>
      </c>
      <c r="G67" s="3">
        <v>293</v>
      </c>
      <c r="H67" s="3">
        <v>259</v>
      </c>
      <c r="I67" s="3">
        <v>229</v>
      </c>
      <c r="J67" s="3">
        <v>203</v>
      </c>
      <c r="L67" s="3">
        <v>229</v>
      </c>
      <c r="N67" s="3">
        <f>SUMPRODUCT(D67:J67,$D$142:$J$142)</f>
        <v>211.24038318486214</v>
      </c>
      <c r="O67" s="3">
        <f>SUMPRODUCT(D67:J67,$D$143:$J$143)</f>
        <v>211.23899131861612</v>
      </c>
      <c r="R67" s="2">
        <v>19876</v>
      </c>
      <c r="S67" s="3">
        <v>264</v>
      </c>
      <c r="T67" s="3">
        <f t="shared" si="0"/>
        <v>243.55372468245511</v>
      </c>
      <c r="U67" s="3"/>
    </row>
    <row r="68" spans="1:21" x14ac:dyDescent="0.3">
      <c r="A68" s="2">
        <v>19906</v>
      </c>
      <c r="B68" s="3">
        <v>302</v>
      </c>
      <c r="D68" s="3">
        <v>1</v>
      </c>
      <c r="E68" s="3">
        <v>302</v>
      </c>
      <c r="F68" s="3">
        <v>293</v>
      </c>
      <c r="G68" s="3">
        <v>259</v>
      </c>
      <c r="H68" s="3">
        <v>229</v>
      </c>
      <c r="I68" s="3">
        <v>203</v>
      </c>
      <c r="J68" s="3">
        <v>229</v>
      </c>
      <c r="L68" s="3">
        <v>242</v>
      </c>
      <c r="N68" s="3">
        <f>SUMPRODUCT(D68:J68,$D$142:$J$142)</f>
        <v>255.06234713902322</v>
      </c>
      <c r="O68" s="3">
        <f>SUMPRODUCT(D68:J68,$D$143:$J$143)</f>
        <v>255.06303342135971</v>
      </c>
      <c r="R68" s="2">
        <v>19906</v>
      </c>
      <c r="S68" s="3">
        <v>302</v>
      </c>
      <c r="T68" s="3">
        <f t="shared" si="0"/>
        <v>262.79753597803199</v>
      </c>
      <c r="U68" s="3"/>
    </row>
    <row r="69" spans="1:21" x14ac:dyDescent="0.3">
      <c r="A69" s="2">
        <v>19937</v>
      </c>
      <c r="B69" s="3">
        <v>293</v>
      </c>
      <c r="D69" s="3">
        <v>1</v>
      </c>
      <c r="E69" s="3">
        <v>293</v>
      </c>
      <c r="F69" s="3">
        <v>259</v>
      </c>
      <c r="G69" s="3">
        <v>229</v>
      </c>
      <c r="H69" s="3">
        <v>203</v>
      </c>
      <c r="I69" s="3">
        <v>229</v>
      </c>
      <c r="J69" s="3">
        <v>242</v>
      </c>
      <c r="L69" s="3">
        <v>233</v>
      </c>
      <c r="N69" s="3">
        <f>SUMPRODUCT(D69:J69,$D$142:$J$142)</f>
        <v>251.74486212119581</v>
      </c>
      <c r="O69" s="3">
        <f>SUMPRODUCT(D69:J69,$D$143:$J$143)</f>
        <v>251.74637405151208</v>
      </c>
      <c r="R69" s="2">
        <v>19937</v>
      </c>
      <c r="S69" s="3">
        <v>293</v>
      </c>
      <c r="T69" s="3">
        <f t="shared" si="0"/>
        <v>315.43612727328872</v>
      </c>
      <c r="U69" s="3"/>
    </row>
    <row r="70" spans="1:21" x14ac:dyDescent="0.3">
      <c r="A70" s="2">
        <v>19968</v>
      </c>
      <c r="B70" s="3">
        <v>259</v>
      </c>
      <c r="D70" s="3">
        <v>1</v>
      </c>
      <c r="E70" s="3">
        <v>259</v>
      </c>
      <c r="F70" s="3">
        <v>229</v>
      </c>
      <c r="G70" s="3">
        <v>203</v>
      </c>
      <c r="H70" s="3">
        <v>229</v>
      </c>
      <c r="I70" s="3">
        <v>242</v>
      </c>
      <c r="J70" s="3">
        <v>233</v>
      </c>
      <c r="L70" s="3">
        <v>267</v>
      </c>
      <c r="N70" s="3">
        <f>SUMPRODUCT(D70:J70,$D$142:$J$142)</f>
        <v>235.35678567699597</v>
      </c>
      <c r="O70" s="3">
        <f>SUMPRODUCT(D70:J70,$D$143:$J$143)</f>
        <v>235.35677474008912</v>
      </c>
      <c r="R70" s="2">
        <v>19968</v>
      </c>
      <c r="S70" s="3">
        <v>259</v>
      </c>
      <c r="T70" s="3">
        <f t="shared" si="0"/>
        <v>282.54183876920393</v>
      </c>
      <c r="U70" s="3"/>
    </row>
    <row r="71" spans="1:21" x14ac:dyDescent="0.3">
      <c r="A71" s="2">
        <v>19998</v>
      </c>
      <c r="B71" s="3">
        <v>229</v>
      </c>
      <c r="D71" s="3">
        <v>1</v>
      </c>
      <c r="E71" s="3">
        <v>229</v>
      </c>
      <c r="F71" s="3">
        <v>203</v>
      </c>
      <c r="G71" s="3">
        <v>229</v>
      </c>
      <c r="H71" s="3">
        <v>242</v>
      </c>
      <c r="I71" s="3">
        <v>233</v>
      </c>
      <c r="J71" s="3">
        <v>267</v>
      </c>
      <c r="L71" s="3">
        <v>269</v>
      </c>
      <c r="N71" s="3">
        <f>SUMPRODUCT(D71:J71,$D$142:$J$142)</f>
        <v>273.51515337920716</v>
      </c>
      <c r="O71" s="3">
        <f>SUMPRODUCT(D71:J71,$D$143:$J$143)</f>
        <v>273.51680383975634</v>
      </c>
      <c r="R71" s="2">
        <v>19998</v>
      </c>
      <c r="S71" s="3">
        <v>229</v>
      </c>
      <c r="T71" s="3">
        <f t="shared" si="0"/>
        <v>244.79023703681483</v>
      </c>
      <c r="U71" s="3"/>
    </row>
    <row r="72" spans="1:21" x14ac:dyDescent="0.3">
      <c r="A72" s="2">
        <v>20029</v>
      </c>
      <c r="B72" s="3">
        <v>203</v>
      </c>
      <c r="D72" s="3">
        <v>1</v>
      </c>
      <c r="E72" s="3">
        <v>203</v>
      </c>
      <c r="F72" s="3">
        <v>229</v>
      </c>
      <c r="G72" s="3">
        <v>242</v>
      </c>
      <c r="H72" s="3">
        <v>233</v>
      </c>
      <c r="I72" s="3">
        <v>267</v>
      </c>
      <c r="J72" s="3">
        <v>269</v>
      </c>
      <c r="L72" s="3">
        <v>270</v>
      </c>
      <c r="N72" s="3">
        <f>SUMPRODUCT(D72:J72,$D$142:$J$142)</f>
        <v>265.52935084584919</v>
      </c>
      <c r="O72" s="3">
        <f>SUMPRODUCT(D72:J72,$D$143:$J$143)</f>
        <v>265.52927327642385</v>
      </c>
      <c r="R72" s="2">
        <v>20029</v>
      </c>
      <c r="S72" s="3">
        <v>203</v>
      </c>
      <c r="T72" s="3">
        <f t="shared" si="0"/>
        <v>222.71093539367209</v>
      </c>
      <c r="U72" s="3"/>
    </row>
    <row r="73" spans="1:21" x14ac:dyDescent="0.3">
      <c r="A73" s="2">
        <v>20059</v>
      </c>
      <c r="B73" s="3">
        <v>229</v>
      </c>
      <c r="D73" s="3">
        <v>1</v>
      </c>
      <c r="E73" s="3">
        <v>229</v>
      </c>
      <c r="F73" s="3">
        <v>242</v>
      </c>
      <c r="G73" s="3">
        <v>233</v>
      </c>
      <c r="H73" s="3">
        <v>267</v>
      </c>
      <c r="I73" s="3">
        <v>269</v>
      </c>
      <c r="J73" s="3">
        <v>270</v>
      </c>
      <c r="L73" s="3">
        <v>315</v>
      </c>
      <c r="N73" s="3">
        <f>SUMPRODUCT(D73:J73,$D$142:$J$142)</f>
        <v>274.67235421462453</v>
      </c>
      <c r="O73" s="3">
        <f>SUMPRODUCT(D73:J73,$D$143:$J$143)</f>
        <v>274.67139241362224</v>
      </c>
      <c r="R73" s="2">
        <v>20059</v>
      </c>
      <c r="S73" s="3">
        <v>229</v>
      </c>
      <c r="T73" s="3">
        <f t="shared" ref="T73:T136" si="1">O67</f>
        <v>211.23899131861612</v>
      </c>
      <c r="U73" s="3"/>
    </row>
    <row r="74" spans="1:21" x14ac:dyDescent="0.3">
      <c r="A74" s="2">
        <v>20090</v>
      </c>
      <c r="B74" s="3">
        <v>242</v>
      </c>
      <c r="D74" s="3">
        <v>1</v>
      </c>
      <c r="E74" s="3">
        <v>242</v>
      </c>
      <c r="F74" s="3">
        <v>233</v>
      </c>
      <c r="G74" s="3">
        <v>267</v>
      </c>
      <c r="H74" s="3">
        <v>269</v>
      </c>
      <c r="I74" s="3">
        <v>270</v>
      </c>
      <c r="J74" s="3">
        <v>315</v>
      </c>
      <c r="L74" s="3">
        <v>364</v>
      </c>
      <c r="N74" s="3">
        <f>SUMPRODUCT(D74:J74,$D$142:$J$142)</f>
        <v>321.67673549001847</v>
      </c>
      <c r="O74" s="3">
        <f>SUMPRODUCT(D74:J74,$D$143:$J$143)</f>
        <v>321.67861720929534</v>
      </c>
      <c r="R74" s="2">
        <v>20090</v>
      </c>
      <c r="S74" s="3">
        <v>242</v>
      </c>
      <c r="T74" s="3">
        <f t="shared" si="1"/>
        <v>255.06303342135971</v>
      </c>
      <c r="U74" s="3"/>
    </row>
    <row r="75" spans="1:21" x14ac:dyDescent="0.3">
      <c r="A75" s="2">
        <v>20121</v>
      </c>
      <c r="B75" s="3">
        <v>233</v>
      </c>
      <c r="D75" s="3">
        <v>1</v>
      </c>
      <c r="E75" s="3">
        <v>233</v>
      </c>
      <c r="F75" s="3">
        <v>267</v>
      </c>
      <c r="G75" s="3">
        <v>269</v>
      </c>
      <c r="H75" s="3">
        <v>270</v>
      </c>
      <c r="I75" s="3">
        <v>315</v>
      </c>
      <c r="J75" s="3">
        <v>364</v>
      </c>
      <c r="L75" s="3">
        <v>347</v>
      </c>
      <c r="N75" s="3">
        <f>SUMPRODUCT(D75:J75,$D$142:$J$142)</f>
        <v>373.81095367785099</v>
      </c>
      <c r="O75" s="3">
        <f>SUMPRODUCT(D75:J75,$D$143:$J$143)</f>
        <v>373.81156941335178</v>
      </c>
      <c r="R75" s="2">
        <v>20121</v>
      </c>
      <c r="S75" s="3">
        <v>233</v>
      </c>
      <c r="T75" s="3">
        <f t="shared" si="1"/>
        <v>251.74637405151208</v>
      </c>
      <c r="U75" s="3"/>
    </row>
    <row r="76" spans="1:21" x14ac:dyDescent="0.3">
      <c r="A76" s="2">
        <v>20149</v>
      </c>
      <c r="B76" s="3">
        <v>267</v>
      </c>
      <c r="D76" s="3">
        <v>1</v>
      </c>
      <c r="E76" s="3">
        <v>267</v>
      </c>
      <c r="F76" s="3">
        <v>269</v>
      </c>
      <c r="G76" s="3">
        <v>270</v>
      </c>
      <c r="H76" s="3">
        <v>315</v>
      </c>
      <c r="I76" s="3">
        <v>364</v>
      </c>
      <c r="J76" s="3">
        <v>347</v>
      </c>
      <c r="L76" s="3">
        <v>312</v>
      </c>
      <c r="N76" s="3">
        <f>SUMPRODUCT(D76:J76,$D$142:$J$142)</f>
        <v>332.47758311107577</v>
      </c>
      <c r="O76" s="3">
        <f>SUMPRODUCT(D76:J76,$D$143:$J$143)</f>
        <v>332.47710122268046</v>
      </c>
      <c r="R76" s="2">
        <v>20149</v>
      </c>
      <c r="S76" s="3">
        <v>267</v>
      </c>
      <c r="T76" s="3">
        <f t="shared" si="1"/>
        <v>235.35677474008912</v>
      </c>
      <c r="U76" s="3"/>
    </row>
    <row r="77" spans="1:21" x14ac:dyDescent="0.3">
      <c r="A77" s="2">
        <v>20180</v>
      </c>
      <c r="B77" s="3">
        <v>269</v>
      </c>
      <c r="D77" s="3">
        <v>1</v>
      </c>
      <c r="E77" s="3">
        <v>269</v>
      </c>
      <c r="F77" s="3">
        <v>270</v>
      </c>
      <c r="G77" s="3">
        <v>315</v>
      </c>
      <c r="H77" s="3">
        <v>364</v>
      </c>
      <c r="I77" s="3">
        <v>347</v>
      </c>
      <c r="J77" s="3">
        <v>312</v>
      </c>
      <c r="L77" s="3">
        <v>274</v>
      </c>
      <c r="N77" s="3">
        <f>SUMPRODUCT(D77:J77,$D$142:$J$142)</f>
        <v>293.19307611162964</v>
      </c>
      <c r="O77" s="3">
        <f>SUMPRODUCT(D77:J77,$D$143:$J$143)</f>
        <v>293.1923765553081</v>
      </c>
      <c r="R77" s="2">
        <v>20180</v>
      </c>
      <c r="S77" s="3">
        <v>269</v>
      </c>
      <c r="T77" s="3">
        <f t="shared" si="1"/>
        <v>273.51680383975634</v>
      </c>
      <c r="U77" s="3"/>
    </row>
    <row r="78" spans="1:21" x14ac:dyDescent="0.3">
      <c r="A78" s="2">
        <v>20210</v>
      </c>
      <c r="B78" s="3">
        <v>270</v>
      </c>
      <c r="D78" s="3">
        <v>1</v>
      </c>
      <c r="E78" s="3">
        <v>270</v>
      </c>
      <c r="F78" s="3">
        <v>315</v>
      </c>
      <c r="G78" s="3">
        <v>364</v>
      </c>
      <c r="H78" s="3">
        <v>347</v>
      </c>
      <c r="I78" s="3">
        <v>312</v>
      </c>
      <c r="J78" s="3">
        <v>274</v>
      </c>
      <c r="L78" s="3">
        <v>237</v>
      </c>
      <c r="N78" s="3">
        <f>SUMPRODUCT(D78:J78,$D$142:$J$142)</f>
        <v>263.0834765951688</v>
      </c>
      <c r="O78" s="3">
        <f>SUMPRODUCT(D78:J78,$D$143:$J$143)</f>
        <v>263.08240890508876</v>
      </c>
      <c r="R78" s="2">
        <v>20210</v>
      </c>
      <c r="S78" s="3">
        <v>270</v>
      </c>
      <c r="T78" s="3">
        <f t="shared" si="1"/>
        <v>265.52927327642385</v>
      </c>
      <c r="U78" s="3"/>
    </row>
    <row r="79" spans="1:21" x14ac:dyDescent="0.3">
      <c r="A79" s="2">
        <v>20241</v>
      </c>
      <c r="B79" s="3">
        <v>315</v>
      </c>
      <c r="D79" s="3">
        <v>1</v>
      </c>
      <c r="E79" s="3">
        <v>315</v>
      </c>
      <c r="F79" s="3">
        <v>364</v>
      </c>
      <c r="G79" s="3">
        <v>347</v>
      </c>
      <c r="H79" s="3">
        <v>312</v>
      </c>
      <c r="I79" s="3">
        <v>274</v>
      </c>
      <c r="J79" s="3">
        <v>237</v>
      </c>
      <c r="L79" s="3">
        <v>278</v>
      </c>
      <c r="N79" s="3">
        <f>SUMPRODUCT(D79:J79,$D$142:$J$142)</f>
        <v>245.38229614256795</v>
      </c>
      <c r="O79" s="3">
        <f>SUMPRODUCT(D79:J79,$D$143:$J$143)</f>
        <v>245.38035830651444</v>
      </c>
      <c r="R79" s="2">
        <v>20241</v>
      </c>
      <c r="S79" s="3">
        <v>315</v>
      </c>
      <c r="T79" s="3">
        <f t="shared" si="1"/>
        <v>274.67139241362224</v>
      </c>
      <c r="U79" s="3"/>
    </row>
    <row r="80" spans="1:21" x14ac:dyDescent="0.3">
      <c r="A80" s="2">
        <v>20271</v>
      </c>
      <c r="B80" s="3">
        <v>364</v>
      </c>
      <c r="D80" s="3">
        <v>1</v>
      </c>
      <c r="E80" s="3">
        <v>364</v>
      </c>
      <c r="F80" s="3">
        <v>347</v>
      </c>
      <c r="G80" s="3">
        <v>312</v>
      </c>
      <c r="H80" s="3">
        <v>274</v>
      </c>
      <c r="I80" s="3">
        <v>237</v>
      </c>
      <c r="J80" s="3">
        <v>278</v>
      </c>
      <c r="L80" s="3">
        <v>284</v>
      </c>
      <c r="N80" s="3">
        <f>SUMPRODUCT(D80:J80,$D$142:$J$142)</f>
        <v>309.76091620876497</v>
      </c>
      <c r="O80" s="3">
        <f>SUMPRODUCT(D80:J80,$D$143:$J$143)</f>
        <v>309.7623829991357</v>
      </c>
      <c r="R80" s="2">
        <v>20271</v>
      </c>
      <c r="S80" s="3">
        <v>364</v>
      </c>
      <c r="T80" s="3">
        <f t="shared" si="1"/>
        <v>321.67861720929534</v>
      </c>
      <c r="U80" s="3"/>
    </row>
    <row r="81" spans="1:21" x14ac:dyDescent="0.3">
      <c r="A81" s="2">
        <v>20302</v>
      </c>
      <c r="B81" s="3">
        <v>347</v>
      </c>
      <c r="D81" s="3">
        <v>1</v>
      </c>
      <c r="E81" s="3">
        <v>347</v>
      </c>
      <c r="F81" s="3">
        <v>312</v>
      </c>
      <c r="G81" s="3">
        <v>274</v>
      </c>
      <c r="H81" s="3">
        <v>237</v>
      </c>
      <c r="I81" s="3">
        <v>278</v>
      </c>
      <c r="J81" s="3">
        <v>284</v>
      </c>
      <c r="L81" s="3">
        <v>277</v>
      </c>
      <c r="N81" s="3">
        <f>SUMPRODUCT(D81:J81,$D$142:$J$142)</f>
        <v>290.53787330263907</v>
      </c>
      <c r="O81" s="3">
        <f>SUMPRODUCT(D81:J81,$D$143:$J$143)</f>
        <v>290.53961108378962</v>
      </c>
      <c r="R81" s="2">
        <v>20302</v>
      </c>
      <c r="S81" s="3">
        <v>347</v>
      </c>
      <c r="T81" s="3">
        <f t="shared" si="1"/>
        <v>373.81156941335178</v>
      </c>
      <c r="U81" s="3"/>
    </row>
    <row r="82" spans="1:21" x14ac:dyDescent="0.3">
      <c r="A82" s="2">
        <v>20333</v>
      </c>
      <c r="B82" s="3">
        <v>312</v>
      </c>
      <c r="D82" s="3">
        <v>1</v>
      </c>
      <c r="E82" s="3">
        <v>312</v>
      </c>
      <c r="F82" s="3">
        <v>274</v>
      </c>
      <c r="G82" s="3">
        <v>237</v>
      </c>
      <c r="H82" s="3">
        <v>278</v>
      </c>
      <c r="I82" s="3">
        <v>284</v>
      </c>
      <c r="J82" s="3">
        <v>277</v>
      </c>
      <c r="L82" s="3">
        <v>317</v>
      </c>
      <c r="N82" s="3">
        <f>SUMPRODUCT(D82:J82,$D$142:$J$142)</f>
        <v>281.91379996824355</v>
      </c>
      <c r="O82" s="3">
        <f>SUMPRODUCT(D82:J82,$D$143:$J$143)</f>
        <v>281.91376858704842</v>
      </c>
      <c r="R82" s="2">
        <v>20333</v>
      </c>
      <c r="S82" s="3">
        <v>312</v>
      </c>
      <c r="T82" s="3">
        <f t="shared" si="1"/>
        <v>332.47710122268046</v>
      </c>
      <c r="U82" s="3"/>
    </row>
    <row r="83" spans="1:21" x14ac:dyDescent="0.3">
      <c r="A83" s="2">
        <v>20363</v>
      </c>
      <c r="B83" s="3">
        <v>274</v>
      </c>
      <c r="D83" s="3">
        <v>1</v>
      </c>
      <c r="E83" s="3">
        <v>274</v>
      </c>
      <c r="F83" s="3">
        <v>237</v>
      </c>
      <c r="G83" s="3">
        <v>278</v>
      </c>
      <c r="H83" s="3">
        <v>284</v>
      </c>
      <c r="I83" s="3">
        <v>277</v>
      </c>
      <c r="J83" s="3">
        <v>317</v>
      </c>
      <c r="L83" s="3">
        <v>313</v>
      </c>
      <c r="N83" s="3">
        <f>SUMPRODUCT(D83:J83,$D$142:$J$142)</f>
        <v>319.84763621448201</v>
      </c>
      <c r="O83" s="3">
        <f>SUMPRODUCT(D83:J83,$D$143:$J$143)</f>
        <v>319.8502742372325</v>
      </c>
      <c r="R83" s="2">
        <v>20363</v>
      </c>
      <c r="S83" s="3">
        <v>274</v>
      </c>
      <c r="T83" s="3">
        <f t="shared" si="1"/>
        <v>293.1923765553081</v>
      </c>
      <c r="U83" s="3"/>
    </row>
    <row r="84" spans="1:21" x14ac:dyDescent="0.3">
      <c r="A84" s="2">
        <v>20394</v>
      </c>
      <c r="B84" s="3">
        <v>237</v>
      </c>
      <c r="D84" s="3">
        <v>1</v>
      </c>
      <c r="E84" s="3">
        <v>237</v>
      </c>
      <c r="F84" s="3">
        <v>278</v>
      </c>
      <c r="G84" s="3">
        <v>284</v>
      </c>
      <c r="H84" s="3">
        <v>277</v>
      </c>
      <c r="I84" s="3">
        <v>317</v>
      </c>
      <c r="J84" s="3">
        <v>313</v>
      </c>
      <c r="L84" s="3">
        <v>318</v>
      </c>
      <c r="N84" s="3">
        <f>SUMPRODUCT(D84:J84,$D$142:$J$142)</f>
        <v>308.3436995605382</v>
      </c>
      <c r="O84" s="3">
        <f>SUMPRODUCT(D84:J84,$D$143:$J$143)</f>
        <v>308.34311468505274</v>
      </c>
      <c r="R84" s="2">
        <v>20394</v>
      </c>
      <c r="S84" s="3">
        <v>237</v>
      </c>
      <c r="T84" s="3">
        <f t="shared" si="1"/>
        <v>263.08240890508876</v>
      </c>
      <c r="U84" s="3"/>
    </row>
    <row r="85" spans="1:21" x14ac:dyDescent="0.3">
      <c r="A85" s="2">
        <v>20424</v>
      </c>
      <c r="B85" s="3">
        <v>278</v>
      </c>
      <c r="D85" s="3">
        <v>1</v>
      </c>
      <c r="E85" s="3">
        <v>278</v>
      </c>
      <c r="F85" s="3">
        <v>284</v>
      </c>
      <c r="G85" s="3">
        <v>277</v>
      </c>
      <c r="H85" s="3">
        <v>317</v>
      </c>
      <c r="I85" s="3">
        <v>313</v>
      </c>
      <c r="J85" s="3">
        <v>318</v>
      </c>
      <c r="L85" s="3">
        <v>374</v>
      </c>
      <c r="N85" s="3">
        <f>SUMPRODUCT(D85:J85,$D$142:$J$142)</f>
        <v>322.78795697437255</v>
      </c>
      <c r="O85" s="3">
        <f>SUMPRODUCT(D85:J85,$D$143:$J$143)</f>
        <v>322.78735147974999</v>
      </c>
      <c r="R85" s="2">
        <v>20424</v>
      </c>
      <c r="S85" s="3">
        <v>278</v>
      </c>
      <c r="T85" s="3">
        <f t="shared" si="1"/>
        <v>245.38035830651444</v>
      </c>
      <c r="U85" s="3"/>
    </row>
    <row r="86" spans="1:21" x14ac:dyDescent="0.3">
      <c r="A86" s="2">
        <v>20455</v>
      </c>
      <c r="B86" s="3">
        <v>284</v>
      </c>
      <c r="D86" s="3">
        <v>1</v>
      </c>
      <c r="E86" s="3">
        <v>284</v>
      </c>
      <c r="F86" s="3">
        <v>277</v>
      </c>
      <c r="G86" s="3">
        <v>317</v>
      </c>
      <c r="H86" s="3">
        <v>313</v>
      </c>
      <c r="I86" s="3">
        <v>318</v>
      </c>
      <c r="J86" s="3">
        <v>374</v>
      </c>
      <c r="L86" s="3">
        <v>413</v>
      </c>
      <c r="N86" s="3">
        <f>SUMPRODUCT(D86:J86,$D$142:$J$142)</f>
        <v>381.02891811170468</v>
      </c>
      <c r="O86" s="3">
        <f>SUMPRODUCT(D86:J86,$D$143:$J$143)</f>
        <v>381.03137974013561</v>
      </c>
      <c r="R86" s="2">
        <v>20455</v>
      </c>
      <c r="S86" s="3">
        <v>284</v>
      </c>
      <c r="T86" s="3">
        <f t="shared" si="1"/>
        <v>309.7623829991357</v>
      </c>
      <c r="U86" s="3"/>
    </row>
    <row r="87" spans="1:21" x14ac:dyDescent="0.3">
      <c r="A87" s="2">
        <v>20486</v>
      </c>
      <c r="B87" s="3">
        <v>277</v>
      </c>
      <c r="D87" s="3">
        <v>1</v>
      </c>
      <c r="E87" s="3">
        <v>277</v>
      </c>
      <c r="F87" s="3">
        <v>317</v>
      </c>
      <c r="G87" s="3">
        <v>313</v>
      </c>
      <c r="H87" s="3">
        <v>318</v>
      </c>
      <c r="I87" s="3">
        <v>374</v>
      </c>
      <c r="J87" s="3">
        <v>413</v>
      </c>
      <c r="L87" s="3">
        <v>405</v>
      </c>
      <c r="N87" s="3">
        <f>SUMPRODUCT(D87:J87,$D$142:$J$142)</f>
        <v>418.4990877646535</v>
      </c>
      <c r="O87" s="3">
        <f>SUMPRODUCT(D87:J87,$D$143:$J$143)</f>
        <v>418.49941994712179</v>
      </c>
      <c r="R87" s="2">
        <v>20486</v>
      </c>
      <c r="S87" s="3">
        <v>277</v>
      </c>
      <c r="T87" s="3">
        <f t="shared" si="1"/>
        <v>290.53961108378962</v>
      </c>
      <c r="U87" s="3"/>
    </row>
    <row r="88" spans="1:21" x14ac:dyDescent="0.3">
      <c r="A88" s="2">
        <v>20515</v>
      </c>
      <c r="B88" s="3">
        <v>317</v>
      </c>
      <c r="D88" s="3">
        <v>1</v>
      </c>
      <c r="E88" s="3">
        <v>317</v>
      </c>
      <c r="F88" s="3">
        <v>313</v>
      </c>
      <c r="G88" s="3">
        <v>318</v>
      </c>
      <c r="H88" s="3">
        <v>374</v>
      </c>
      <c r="I88" s="3">
        <v>413</v>
      </c>
      <c r="J88" s="3">
        <v>405</v>
      </c>
      <c r="L88" s="3">
        <v>355</v>
      </c>
      <c r="N88" s="3">
        <f>SUMPRODUCT(D88:J88,$D$142:$J$142)</f>
        <v>391.96337631390099</v>
      </c>
      <c r="O88" s="3">
        <f>SUMPRODUCT(D88:J88,$D$143:$J$143)</f>
        <v>391.96326595698849</v>
      </c>
      <c r="R88" s="2">
        <v>20515</v>
      </c>
      <c r="S88" s="3">
        <v>317</v>
      </c>
      <c r="T88" s="3">
        <f t="shared" si="1"/>
        <v>281.91376858704842</v>
      </c>
      <c r="U88" s="3"/>
    </row>
    <row r="89" spans="1:21" x14ac:dyDescent="0.3">
      <c r="A89" s="2">
        <v>20546</v>
      </c>
      <c r="B89" s="3">
        <v>313</v>
      </c>
      <c r="D89" s="3">
        <v>1</v>
      </c>
      <c r="E89" s="3">
        <v>313</v>
      </c>
      <c r="F89" s="3">
        <v>318</v>
      </c>
      <c r="G89" s="3">
        <v>374</v>
      </c>
      <c r="H89" s="3">
        <v>413</v>
      </c>
      <c r="I89" s="3">
        <v>405</v>
      </c>
      <c r="J89" s="3">
        <v>355</v>
      </c>
      <c r="L89" s="3">
        <v>306</v>
      </c>
      <c r="N89" s="3">
        <f>SUMPRODUCT(D89:J89,$D$142:$J$142)</f>
        <v>327.07868545803603</v>
      </c>
      <c r="O89" s="3">
        <f>SUMPRODUCT(D89:J89,$D$143:$J$143)</f>
        <v>327.07813779024195</v>
      </c>
      <c r="R89" s="2">
        <v>20546</v>
      </c>
      <c r="S89" s="3">
        <v>313</v>
      </c>
      <c r="T89" s="3">
        <f t="shared" si="1"/>
        <v>319.8502742372325</v>
      </c>
      <c r="U89" s="3"/>
    </row>
    <row r="90" spans="1:21" x14ac:dyDescent="0.3">
      <c r="A90" s="2">
        <v>20576</v>
      </c>
      <c r="B90" s="3">
        <v>318</v>
      </c>
      <c r="D90" s="3">
        <v>1</v>
      </c>
      <c r="E90" s="3">
        <v>318</v>
      </c>
      <c r="F90" s="3">
        <v>374</v>
      </c>
      <c r="G90" s="3">
        <v>413</v>
      </c>
      <c r="H90" s="3">
        <v>405</v>
      </c>
      <c r="I90" s="3">
        <v>355</v>
      </c>
      <c r="J90" s="3">
        <v>306</v>
      </c>
      <c r="L90" s="3">
        <v>271</v>
      </c>
      <c r="N90" s="3">
        <f>SUMPRODUCT(D90:J90,$D$142:$J$142)</f>
        <v>296.55938661566597</v>
      </c>
      <c r="O90" s="3">
        <f>SUMPRODUCT(D90:J90,$D$143:$J$143)</f>
        <v>296.55751751097404</v>
      </c>
      <c r="R90" s="2">
        <v>20576</v>
      </c>
      <c r="S90" s="3">
        <v>318</v>
      </c>
      <c r="T90" s="3">
        <f t="shared" si="1"/>
        <v>308.34311468505274</v>
      </c>
      <c r="U90" s="3"/>
    </row>
    <row r="91" spans="1:21" x14ac:dyDescent="0.3">
      <c r="A91" s="2">
        <v>20607</v>
      </c>
      <c r="B91" s="3">
        <v>374</v>
      </c>
      <c r="D91" s="3">
        <v>1</v>
      </c>
      <c r="E91" s="3">
        <v>374</v>
      </c>
      <c r="F91" s="3">
        <v>413</v>
      </c>
      <c r="G91" s="3">
        <v>405</v>
      </c>
      <c r="H91" s="3">
        <v>355</v>
      </c>
      <c r="I91" s="3">
        <v>306</v>
      </c>
      <c r="J91" s="3">
        <v>271</v>
      </c>
      <c r="L91" s="3">
        <v>306</v>
      </c>
      <c r="N91" s="3">
        <f>SUMPRODUCT(D91:J91,$D$142:$J$142)</f>
        <v>279.09321272944084</v>
      </c>
      <c r="O91" s="3">
        <f>SUMPRODUCT(D91:J91,$D$143:$J$143)</f>
        <v>279.0920922643528</v>
      </c>
      <c r="R91" s="2">
        <v>20607</v>
      </c>
      <c r="S91" s="3">
        <v>374</v>
      </c>
      <c r="T91" s="3">
        <f t="shared" si="1"/>
        <v>322.78735147974999</v>
      </c>
      <c r="U91" s="3"/>
    </row>
    <row r="92" spans="1:21" x14ac:dyDescent="0.3">
      <c r="A92" s="2">
        <v>20637</v>
      </c>
      <c r="B92" s="3">
        <v>413</v>
      </c>
      <c r="D92" s="3">
        <v>1</v>
      </c>
      <c r="E92" s="3">
        <v>413</v>
      </c>
      <c r="F92" s="3">
        <v>405</v>
      </c>
      <c r="G92" s="3">
        <v>355</v>
      </c>
      <c r="H92" s="3">
        <v>306</v>
      </c>
      <c r="I92" s="3">
        <v>271</v>
      </c>
      <c r="J92" s="3">
        <v>306</v>
      </c>
      <c r="L92" s="3">
        <v>315</v>
      </c>
      <c r="N92" s="3">
        <f>SUMPRODUCT(D92:J92,$D$142:$J$142)</f>
        <v>339.8603716007072</v>
      </c>
      <c r="O92" s="3">
        <f>SUMPRODUCT(D92:J92,$D$143:$J$143)</f>
        <v>339.86155751016065</v>
      </c>
      <c r="R92" s="2">
        <v>20637</v>
      </c>
      <c r="S92" s="3">
        <v>413</v>
      </c>
      <c r="T92" s="3">
        <f t="shared" si="1"/>
        <v>381.03137974013561</v>
      </c>
      <c r="U92" s="3"/>
    </row>
    <row r="93" spans="1:21" x14ac:dyDescent="0.3">
      <c r="A93" s="2">
        <v>20668</v>
      </c>
      <c r="B93" s="3">
        <v>405</v>
      </c>
      <c r="D93" s="3">
        <v>1</v>
      </c>
      <c r="E93" s="3">
        <v>405</v>
      </c>
      <c r="F93" s="3">
        <v>355</v>
      </c>
      <c r="G93" s="3">
        <v>306</v>
      </c>
      <c r="H93" s="3">
        <v>271</v>
      </c>
      <c r="I93" s="3">
        <v>306</v>
      </c>
      <c r="J93" s="3">
        <v>315</v>
      </c>
      <c r="L93" s="3">
        <v>301</v>
      </c>
      <c r="N93" s="3">
        <f>SUMPRODUCT(D93:J93,$D$142:$J$142)</f>
        <v>324.65054148296883</v>
      </c>
      <c r="O93" s="3">
        <f>SUMPRODUCT(D93:J93,$D$143:$J$143)</f>
        <v>324.65268526010379</v>
      </c>
      <c r="R93" s="2">
        <v>20668</v>
      </c>
      <c r="S93" s="3">
        <v>405</v>
      </c>
      <c r="T93" s="3">
        <f t="shared" si="1"/>
        <v>418.49941994712179</v>
      </c>
      <c r="U93" s="3"/>
    </row>
    <row r="94" spans="1:21" x14ac:dyDescent="0.3">
      <c r="A94" s="2">
        <v>20699</v>
      </c>
      <c r="B94" s="3">
        <v>355</v>
      </c>
      <c r="D94" s="3">
        <v>1</v>
      </c>
      <c r="E94" s="3">
        <v>355</v>
      </c>
      <c r="F94" s="3">
        <v>306</v>
      </c>
      <c r="G94" s="3">
        <v>271</v>
      </c>
      <c r="H94" s="3">
        <v>306</v>
      </c>
      <c r="I94" s="3">
        <v>315</v>
      </c>
      <c r="J94" s="3">
        <v>301</v>
      </c>
      <c r="L94" s="3">
        <v>356</v>
      </c>
      <c r="N94" s="3">
        <f>SUMPRODUCT(D94:J94,$D$142:$J$142)</f>
        <v>301.84516064667389</v>
      </c>
      <c r="O94" s="3">
        <f>SUMPRODUCT(D94:J94,$D$143:$J$143)</f>
        <v>301.84558157864501</v>
      </c>
      <c r="R94" s="2">
        <v>20699</v>
      </c>
      <c r="S94" s="3">
        <v>355</v>
      </c>
      <c r="T94" s="3">
        <f t="shared" si="1"/>
        <v>391.96326595698849</v>
      </c>
      <c r="U94" s="3"/>
    </row>
    <row r="95" spans="1:21" x14ac:dyDescent="0.3">
      <c r="A95" s="2">
        <v>20729</v>
      </c>
      <c r="B95" s="3">
        <v>306</v>
      </c>
      <c r="D95" s="3">
        <v>1</v>
      </c>
      <c r="E95" s="3">
        <v>306</v>
      </c>
      <c r="F95" s="3">
        <v>271</v>
      </c>
      <c r="G95" s="3">
        <v>306</v>
      </c>
      <c r="H95" s="3">
        <v>315</v>
      </c>
      <c r="I95" s="3">
        <v>301</v>
      </c>
      <c r="J95" s="3">
        <v>356</v>
      </c>
      <c r="L95" s="3">
        <v>348</v>
      </c>
      <c r="N95" s="3">
        <f>SUMPRODUCT(D95:J95,$D$142:$J$142)</f>
        <v>365.39991338601425</v>
      </c>
      <c r="O95" s="3">
        <f>SUMPRODUCT(D95:J95,$D$143:$J$143)</f>
        <v>365.40273632278104</v>
      </c>
      <c r="R95" s="2">
        <v>20729</v>
      </c>
      <c r="S95" s="3">
        <v>306</v>
      </c>
      <c r="T95" s="3">
        <f t="shared" si="1"/>
        <v>327.07813779024195</v>
      </c>
      <c r="U95" s="3"/>
    </row>
    <row r="96" spans="1:21" x14ac:dyDescent="0.3">
      <c r="A96" s="2">
        <v>20760</v>
      </c>
      <c r="B96" s="3">
        <v>271</v>
      </c>
      <c r="D96" s="3">
        <v>1</v>
      </c>
      <c r="E96" s="3">
        <v>271</v>
      </c>
      <c r="F96" s="3">
        <v>306</v>
      </c>
      <c r="G96" s="3">
        <v>315</v>
      </c>
      <c r="H96" s="3">
        <v>301</v>
      </c>
      <c r="I96" s="3">
        <v>356</v>
      </c>
      <c r="J96" s="3">
        <v>348</v>
      </c>
      <c r="L96" s="3">
        <v>355</v>
      </c>
      <c r="N96" s="3">
        <f>SUMPRODUCT(D96:J96,$D$142:$J$142)</f>
        <v>337.92424547950861</v>
      </c>
      <c r="O96" s="3">
        <f>SUMPRODUCT(D96:J96,$D$143:$J$143)</f>
        <v>337.92415118688371</v>
      </c>
      <c r="R96" s="2">
        <v>20760</v>
      </c>
      <c r="S96" s="3">
        <v>271</v>
      </c>
      <c r="T96" s="3">
        <f t="shared" si="1"/>
        <v>296.55751751097404</v>
      </c>
      <c r="U96" s="3"/>
    </row>
    <row r="97" spans="1:21" x14ac:dyDescent="0.3">
      <c r="A97" s="2">
        <v>20790</v>
      </c>
      <c r="B97" s="3">
        <v>306</v>
      </c>
      <c r="D97" s="3">
        <v>1</v>
      </c>
      <c r="E97" s="3">
        <v>306</v>
      </c>
      <c r="F97" s="3">
        <v>315</v>
      </c>
      <c r="G97" s="3">
        <v>301</v>
      </c>
      <c r="H97" s="3">
        <v>356</v>
      </c>
      <c r="I97" s="3">
        <v>348</v>
      </c>
      <c r="J97" s="3">
        <v>355</v>
      </c>
      <c r="L97" s="3">
        <v>422</v>
      </c>
      <c r="N97" s="3">
        <f>SUMPRODUCT(D97:J97,$D$142:$J$142)</f>
        <v>361.62604651046445</v>
      </c>
      <c r="O97" s="3">
        <f>SUMPRODUCT(D97:J97,$D$143:$J$143)</f>
        <v>361.62513061647519</v>
      </c>
      <c r="R97" s="2">
        <v>20790</v>
      </c>
      <c r="S97" s="3">
        <v>306</v>
      </c>
      <c r="T97" s="3">
        <f t="shared" si="1"/>
        <v>279.0920922643528</v>
      </c>
      <c r="U97" s="3"/>
    </row>
    <row r="98" spans="1:21" x14ac:dyDescent="0.3">
      <c r="A98" s="2">
        <v>20821</v>
      </c>
      <c r="B98" s="3">
        <v>315</v>
      </c>
      <c r="D98" s="3">
        <v>1</v>
      </c>
      <c r="E98" s="3">
        <v>315</v>
      </c>
      <c r="F98" s="3">
        <v>301</v>
      </c>
      <c r="G98" s="3">
        <v>356</v>
      </c>
      <c r="H98" s="3">
        <v>348</v>
      </c>
      <c r="I98" s="3">
        <v>355</v>
      </c>
      <c r="J98" s="3">
        <v>422</v>
      </c>
      <c r="L98" s="3">
        <v>465</v>
      </c>
      <c r="N98" s="3">
        <f>SUMPRODUCT(D98:J98,$D$142:$J$142)</f>
        <v>427.03867928739425</v>
      </c>
      <c r="O98" s="3">
        <f>SUMPRODUCT(D98:J98,$D$143:$J$143)</f>
        <v>427.04203543801577</v>
      </c>
      <c r="R98" s="2">
        <v>20821</v>
      </c>
      <c r="S98" s="3">
        <v>315</v>
      </c>
      <c r="T98" s="3">
        <f t="shared" si="1"/>
        <v>339.86155751016065</v>
      </c>
      <c r="U98" s="3"/>
    </row>
    <row r="99" spans="1:21" x14ac:dyDescent="0.3">
      <c r="A99" s="2">
        <v>20852</v>
      </c>
      <c r="B99" s="3">
        <v>301</v>
      </c>
      <c r="D99" s="3">
        <v>1</v>
      </c>
      <c r="E99" s="3">
        <v>301</v>
      </c>
      <c r="F99" s="3">
        <v>356</v>
      </c>
      <c r="G99" s="3">
        <v>348</v>
      </c>
      <c r="H99" s="3">
        <v>355</v>
      </c>
      <c r="I99" s="3">
        <v>422</v>
      </c>
      <c r="J99" s="3">
        <v>465</v>
      </c>
      <c r="L99" s="3">
        <v>467</v>
      </c>
      <c r="N99" s="3">
        <f>SUMPRODUCT(D99:J99,$D$142:$J$142)</f>
        <v>470.55471479828088</v>
      </c>
      <c r="O99" s="3">
        <f>SUMPRODUCT(D99:J99,$D$143:$J$143)</f>
        <v>470.55482181494563</v>
      </c>
      <c r="R99" s="2">
        <v>20852</v>
      </c>
      <c r="S99" s="3">
        <v>301</v>
      </c>
      <c r="T99" s="3">
        <f t="shared" si="1"/>
        <v>324.65268526010379</v>
      </c>
      <c r="U99" s="3"/>
    </row>
    <row r="100" spans="1:21" x14ac:dyDescent="0.3">
      <c r="A100" s="2">
        <v>20880</v>
      </c>
      <c r="B100" s="3">
        <v>356</v>
      </c>
      <c r="D100" s="3">
        <v>1</v>
      </c>
      <c r="E100" s="3">
        <v>356</v>
      </c>
      <c r="F100" s="3">
        <v>348</v>
      </c>
      <c r="G100" s="3">
        <v>355</v>
      </c>
      <c r="H100" s="3">
        <v>422</v>
      </c>
      <c r="I100" s="3">
        <v>465</v>
      </c>
      <c r="J100" s="3">
        <v>467</v>
      </c>
      <c r="L100" s="3">
        <v>404</v>
      </c>
      <c r="N100" s="3">
        <f>SUMPRODUCT(D100:J100,$D$142:$J$142)</f>
        <v>453.79071901479892</v>
      </c>
      <c r="O100" s="3">
        <f>SUMPRODUCT(D100:J100,$D$143:$J$143)</f>
        <v>453.79099612196126</v>
      </c>
      <c r="R100" s="2">
        <v>20880</v>
      </c>
      <c r="S100" s="3">
        <v>356</v>
      </c>
      <c r="T100" s="3">
        <f t="shared" si="1"/>
        <v>301.84558157864501</v>
      </c>
      <c r="U100" s="3"/>
    </row>
    <row r="101" spans="1:21" x14ac:dyDescent="0.3">
      <c r="A101" s="2">
        <v>20911</v>
      </c>
      <c r="B101" s="3">
        <v>348</v>
      </c>
      <c r="D101" s="3">
        <v>1</v>
      </c>
      <c r="E101" s="3">
        <v>348</v>
      </c>
      <c r="F101" s="3">
        <v>355</v>
      </c>
      <c r="G101" s="3">
        <v>422</v>
      </c>
      <c r="H101" s="3">
        <v>465</v>
      </c>
      <c r="I101" s="3">
        <v>467</v>
      </c>
      <c r="J101" s="3">
        <v>404</v>
      </c>
      <c r="L101" s="3">
        <v>347</v>
      </c>
      <c r="N101" s="3">
        <f>SUMPRODUCT(D101:J101,$D$142:$J$142)</f>
        <v>366.4981610295489</v>
      </c>
      <c r="O101" s="3">
        <f>SUMPRODUCT(D101:J101,$D$143:$J$143)</f>
        <v>366.49763417645727</v>
      </c>
      <c r="R101" s="2">
        <v>20911</v>
      </c>
      <c r="S101" s="3">
        <v>348</v>
      </c>
      <c r="T101" s="3">
        <f t="shared" si="1"/>
        <v>365.40273632278104</v>
      </c>
      <c r="U101" s="3"/>
    </row>
    <row r="102" spans="1:21" x14ac:dyDescent="0.3">
      <c r="A102" s="2">
        <v>20941</v>
      </c>
      <c r="B102" s="3">
        <v>355</v>
      </c>
      <c r="D102" s="3">
        <v>1</v>
      </c>
      <c r="E102" s="3">
        <v>355</v>
      </c>
      <c r="F102" s="3">
        <v>422</v>
      </c>
      <c r="G102" s="3">
        <v>465</v>
      </c>
      <c r="H102" s="3">
        <v>467</v>
      </c>
      <c r="I102" s="3">
        <v>404</v>
      </c>
      <c r="J102" s="3">
        <v>347</v>
      </c>
      <c r="L102" s="3">
        <v>305</v>
      </c>
      <c r="N102" s="3">
        <f>SUMPRODUCT(D102:J102,$D$142:$J$142)</f>
        <v>335.83928796850273</v>
      </c>
      <c r="O102" s="3">
        <f>SUMPRODUCT(D102:J102,$D$143:$J$143)</f>
        <v>335.83689805668735</v>
      </c>
      <c r="R102" s="2">
        <v>20941</v>
      </c>
      <c r="S102" s="3">
        <v>355</v>
      </c>
      <c r="T102" s="3">
        <f t="shared" si="1"/>
        <v>337.92415118688371</v>
      </c>
      <c r="U102" s="3"/>
    </row>
    <row r="103" spans="1:21" x14ac:dyDescent="0.3">
      <c r="A103" s="2">
        <v>20972</v>
      </c>
      <c r="B103" s="3">
        <v>422</v>
      </c>
      <c r="D103" s="3">
        <v>1</v>
      </c>
      <c r="E103" s="3">
        <v>422</v>
      </c>
      <c r="F103" s="3">
        <v>465</v>
      </c>
      <c r="G103" s="3">
        <v>467</v>
      </c>
      <c r="H103" s="3">
        <v>404</v>
      </c>
      <c r="I103" s="3">
        <v>347</v>
      </c>
      <c r="J103" s="3">
        <v>305</v>
      </c>
      <c r="L103" s="3">
        <v>336</v>
      </c>
      <c r="N103" s="3">
        <f>SUMPRODUCT(D103:J103,$D$142:$J$142)</f>
        <v>310.04535807857428</v>
      </c>
      <c r="O103" s="3">
        <f>SUMPRODUCT(D103:J103,$D$143:$J$143)</f>
        <v>310.04445540515155</v>
      </c>
      <c r="R103" s="2">
        <v>20972</v>
      </c>
      <c r="S103" s="3">
        <v>422</v>
      </c>
      <c r="T103" s="3">
        <f t="shared" si="1"/>
        <v>361.62513061647519</v>
      </c>
      <c r="U103" s="3"/>
    </row>
    <row r="104" spans="1:21" x14ac:dyDescent="0.3">
      <c r="A104" s="2">
        <v>21002</v>
      </c>
      <c r="B104" s="3">
        <v>465</v>
      </c>
      <c r="D104" s="3">
        <v>1</v>
      </c>
      <c r="E104" s="3">
        <v>465</v>
      </c>
      <c r="F104" s="3">
        <v>467</v>
      </c>
      <c r="G104" s="3">
        <v>404</v>
      </c>
      <c r="H104" s="3">
        <v>347</v>
      </c>
      <c r="I104" s="3">
        <v>305</v>
      </c>
      <c r="J104" s="3">
        <v>336</v>
      </c>
      <c r="L104" s="3">
        <v>340</v>
      </c>
      <c r="N104" s="3">
        <f>SUMPRODUCT(D104:J104,$D$142:$J$142)</f>
        <v>373.56452564648919</v>
      </c>
      <c r="O104" s="3">
        <f>SUMPRODUCT(D104:J104,$D$143:$J$143)</f>
        <v>373.56537156111904</v>
      </c>
      <c r="R104" s="2">
        <v>21002</v>
      </c>
      <c r="S104" s="3">
        <v>465</v>
      </c>
      <c r="T104" s="3">
        <f t="shared" si="1"/>
        <v>427.04203543801577</v>
      </c>
      <c r="U104" s="3"/>
    </row>
    <row r="105" spans="1:21" x14ac:dyDescent="0.3">
      <c r="A105" s="2">
        <v>21033</v>
      </c>
      <c r="B105" s="3">
        <v>467</v>
      </c>
      <c r="D105" s="3">
        <v>1</v>
      </c>
      <c r="E105" s="3">
        <v>467</v>
      </c>
      <c r="F105" s="3">
        <v>404</v>
      </c>
      <c r="G105" s="3">
        <v>347</v>
      </c>
      <c r="H105" s="3">
        <v>305</v>
      </c>
      <c r="I105" s="3">
        <v>336</v>
      </c>
      <c r="J105" s="3">
        <v>340</v>
      </c>
      <c r="L105" s="3">
        <v>318</v>
      </c>
      <c r="N105" s="3">
        <f>SUMPRODUCT(D105:J105,$D$142:$J$142)</f>
        <v>349.8695465806511</v>
      </c>
      <c r="O105" s="3">
        <f>SUMPRODUCT(D105:J105,$D$143:$J$143)</f>
        <v>349.8720839454071</v>
      </c>
      <c r="R105" s="2">
        <v>21033</v>
      </c>
      <c r="S105" s="3">
        <v>467</v>
      </c>
      <c r="T105" s="3">
        <f t="shared" si="1"/>
        <v>470.55482181494563</v>
      </c>
      <c r="U105" s="3"/>
    </row>
    <row r="106" spans="1:21" x14ac:dyDescent="0.3">
      <c r="A106" s="2">
        <v>21064</v>
      </c>
      <c r="B106" s="3">
        <v>404</v>
      </c>
      <c r="D106" s="3">
        <v>1</v>
      </c>
      <c r="E106" s="3">
        <v>404</v>
      </c>
      <c r="F106" s="3">
        <v>347</v>
      </c>
      <c r="G106" s="3">
        <v>305</v>
      </c>
      <c r="H106" s="3">
        <v>336</v>
      </c>
      <c r="I106" s="3">
        <v>340</v>
      </c>
      <c r="J106" s="3">
        <v>318</v>
      </c>
      <c r="L106" s="3">
        <v>362</v>
      </c>
      <c r="N106" s="3">
        <f>SUMPRODUCT(D106:J106,$D$142:$J$142)</f>
        <v>318.40805560098914</v>
      </c>
      <c r="O106" s="3">
        <f>SUMPRODUCT(D106:J106,$D$143:$J$143)</f>
        <v>318.40858625510958</v>
      </c>
      <c r="R106" s="2">
        <v>21064</v>
      </c>
      <c r="S106" s="3">
        <v>404</v>
      </c>
      <c r="T106" s="3">
        <f t="shared" si="1"/>
        <v>453.79099612196126</v>
      </c>
      <c r="U106" s="3"/>
    </row>
    <row r="107" spans="1:21" x14ac:dyDescent="0.3">
      <c r="A107" s="2">
        <v>21094</v>
      </c>
      <c r="B107" s="3">
        <v>347</v>
      </c>
      <c r="D107" s="3">
        <v>1</v>
      </c>
      <c r="E107" s="3">
        <v>347</v>
      </c>
      <c r="F107" s="3">
        <v>305</v>
      </c>
      <c r="G107" s="3">
        <v>336</v>
      </c>
      <c r="H107" s="3">
        <v>340</v>
      </c>
      <c r="I107" s="3">
        <v>318</v>
      </c>
      <c r="J107" s="3">
        <v>362</v>
      </c>
      <c r="L107" s="3">
        <v>348</v>
      </c>
      <c r="N107" s="3">
        <f>SUMPRODUCT(D107:J107,$D$142:$J$142)</f>
        <v>370.15873841623647</v>
      </c>
      <c r="O107" s="3">
        <f>SUMPRODUCT(D107:J107,$D$143:$J$143)</f>
        <v>370.16158958009805</v>
      </c>
      <c r="R107" s="2">
        <v>21094</v>
      </c>
      <c r="S107" s="3">
        <v>347</v>
      </c>
      <c r="T107" s="3">
        <f t="shared" si="1"/>
        <v>366.49763417645727</v>
      </c>
      <c r="U107" s="3"/>
    </row>
    <row r="108" spans="1:21" x14ac:dyDescent="0.3">
      <c r="A108" s="2">
        <v>21125</v>
      </c>
      <c r="B108" s="3">
        <v>305</v>
      </c>
      <c r="D108" s="3">
        <v>1</v>
      </c>
      <c r="E108" s="3">
        <v>305</v>
      </c>
      <c r="F108" s="3">
        <v>336</v>
      </c>
      <c r="G108" s="3">
        <v>340</v>
      </c>
      <c r="H108" s="3">
        <v>318</v>
      </c>
      <c r="I108" s="3">
        <v>362</v>
      </c>
      <c r="J108" s="3">
        <v>348</v>
      </c>
      <c r="L108" s="3">
        <v>363</v>
      </c>
      <c r="N108" s="3">
        <f>SUMPRODUCT(D108:J108,$D$142:$J$142)</f>
        <v>339.44800681520161</v>
      </c>
      <c r="O108" s="3">
        <f>SUMPRODUCT(D108:J108,$D$143:$J$143)</f>
        <v>339.44794342525302</v>
      </c>
      <c r="R108" s="2">
        <v>21125</v>
      </c>
      <c r="S108" s="3">
        <v>305</v>
      </c>
      <c r="T108" s="3">
        <f t="shared" si="1"/>
        <v>335.83689805668735</v>
      </c>
      <c r="U108" s="3"/>
    </row>
    <row r="109" spans="1:21" x14ac:dyDescent="0.3">
      <c r="A109" s="2">
        <v>21155</v>
      </c>
      <c r="B109" s="3">
        <v>336</v>
      </c>
      <c r="D109" s="3">
        <v>1</v>
      </c>
      <c r="E109" s="3">
        <v>336</v>
      </c>
      <c r="F109" s="3">
        <v>340</v>
      </c>
      <c r="G109" s="3">
        <v>318</v>
      </c>
      <c r="H109" s="3">
        <v>362</v>
      </c>
      <c r="I109" s="3">
        <v>348</v>
      </c>
      <c r="J109" s="3">
        <v>363</v>
      </c>
      <c r="L109" s="3">
        <v>435</v>
      </c>
      <c r="N109" s="3">
        <f>SUMPRODUCT(D109:J109,$D$142:$J$142)</f>
        <v>375.20164247784516</v>
      </c>
      <c r="O109" s="3">
        <f>SUMPRODUCT(D109:J109,$D$143:$J$143)</f>
        <v>375.20111297870199</v>
      </c>
      <c r="R109" s="2">
        <v>21155</v>
      </c>
      <c r="S109" s="3">
        <v>336</v>
      </c>
      <c r="T109" s="3">
        <f t="shared" si="1"/>
        <v>310.04445540515155</v>
      </c>
      <c r="U109" s="3"/>
    </row>
    <row r="110" spans="1:21" x14ac:dyDescent="0.3">
      <c r="A110" s="2">
        <v>21186</v>
      </c>
      <c r="B110" s="3">
        <v>340</v>
      </c>
      <c r="D110" s="3">
        <v>1</v>
      </c>
      <c r="E110" s="3">
        <v>340</v>
      </c>
      <c r="F110" s="3">
        <v>318</v>
      </c>
      <c r="G110" s="3">
        <v>362</v>
      </c>
      <c r="H110" s="3">
        <v>348</v>
      </c>
      <c r="I110" s="3">
        <v>363</v>
      </c>
      <c r="J110" s="3">
        <v>435</v>
      </c>
      <c r="L110" s="3">
        <v>491</v>
      </c>
      <c r="N110" s="3">
        <f>SUMPRODUCT(D110:J110,$D$142:$J$142)</f>
        <v>442.42070665302947</v>
      </c>
      <c r="O110" s="3">
        <f>SUMPRODUCT(D110:J110,$D$143:$J$143)</f>
        <v>442.42444234170387</v>
      </c>
      <c r="R110" s="2">
        <v>21186</v>
      </c>
      <c r="S110" s="3">
        <v>340</v>
      </c>
      <c r="T110" s="3">
        <f t="shared" si="1"/>
        <v>373.56537156111904</v>
      </c>
      <c r="U110" s="3"/>
    </row>
    <row r="111" spans="1:21" x14ac:dyDescent="0.3">
      <c r="A111" s="2">
        <v>21217</v>
      </c>
      <c r="B111" s="3">
        <v>318</v>
      </c>
      <c r="D111" s="3">
        <v>1</v>
      </c>
      <c r="E111" s="3">
        <v>318</v>
      </c>
      <c r="F111" s="3">
        <v>362</v>
      </c>
      <c r="G111" s="3">
        <v>348</v>
      </c>
      <c r="H111" s="3">
        <v>363</v>
      </c>
      <c r="I111" s="3">
        <v>435</v>
      </c>
      <c r="J111" s="3">
        <v>491</v>
      </c>
      <c r="L111" s="3">
        <v>505</v>
      </c>
      <c r="N111" s="3">
        <f>SUMPRODUCT(D111:J111,$D$142:$J$142)</f>
        <v>499.55895263701677</v>
      </c>
      <c r="O111" s="3">
        <f>SUMPRODUCT(D111:J111,$D$143:$J$143)</f>
        <v>499.5595258543575</v>
      </c>
      <c r="R111" s="2">
        <v>21217</v>
      </c>
      <c r="S111" s="3">
        <v>318</v>
      </c>
      <c r="T111" s="3">
        <f t="shared" si="1"/>
        <v>349.8720839454071</v>
      </c>
      <c r="U111" s="3"/>
    </row>
    <row r="112" spans="1:21" x14ac:dyDescent="0.3">
      <c r="A112" s="2">
        <v>21245</v>
      </c>
      <c r="B112" s="3">
        <v>362</v>
      </c>
      <c r="D112" s="3">
        <v>1</v>
      </c>
      <c r="E112" s="3">
        <v>362</v>
      </c>
      <c r="F112" s="3">
        <v>348</v>
      </c>
      <c r="G112" s="3">
        <v>363</v>
      </c>
      <c r="H112" s="3">
        <v>435</v>
      </c>
      <c r="I112" s="3">
        <v>491</v>
      </c>
      <c r="J112" s="3">
        <v>505</v>
      </c>
      <c r="L112" s="3">
        <v>404</v>
      </c>
      <c r="N112" s="3">
        <f>SUMPRODUCT(D112:J112,$D$142:$J$142)</f>
        <v>489.73873072801996</v>
      </c>
      <c r="O112" s="3">
        <f>SUMPRODUCT(D112:J112,$D$143:$J$143)</f>
        <v>489.73964415294461</v>
      </c>
      <c r="R112" s="2">
        <v>21245</v>
      </c>
      <c r="S112" s="3">
        <v>362</v>
      </c>
      <c r="T112" s="3">
        <f t="shared" si="1"/>
        <v>318.40858625510958</v>
      </c>
      <c r="U112" s="3"/>
    </row>
    <row r="113" spans="1:21" x14ac:dyDescent="0.3">
      <c r="A113" s="2">
        <v>21276</v>
      </c>
      <c r="B113" s="3">
        <v>348</v>
      </c>
      <c r="D113" s="3">
        <v>1</v>
      </c>
      <c r="E113" s="3">
        <v>348</v>
      </c>
      <c r="F113" s="3">
        <v>363</v>
      </c>
      <c r="G113" s="3">
        <v>435</v>
      </c>
      <c r="H113" s="3">
        <v>491</v>
      </c>
      <c r="I113" s="3">
        <v>505</v>
      </c>
      <c r="J113" s="3">
        <v>404</v>
      </c>
      <c r="L113" s="3">
        <v>359</v>
      </c>
      <c r="N113" s="3">
        <f>SUMPRODUCT(D113:J113,$D$142:$J$142)</f>
        <v>351.37125455269518</v>
      </c>
      <c r="O113" s="3">
        <f>SUMPRODUCT(D113:J113,$D$143:$J$143)</f>
        <v>351.36968125496065</v>
      </c>
      <c r="R113" s="2">
        <v>21276</v>
      </c>
      <c r="S113" s="3">
        <v>348</v>
      </c>
      <c r="T113" s="3">
        <f t="shared" si="1"/>
        <v>370.16158958009805</v>
      </c>
      <c r="U113" s="3"/>
    </row>
    <row r="114" spans="1:21" x14ac:dyDescent="0.3">
      <c r="A114" s="2">
        <v>21306</v>
      </c>
      <c r="B114" s="3">
        <v>363</v>
      </c>
      <c r="D114" s="3">
        <v>1</v>
      </c>
      <c r="E114" s="3">
        <v>363</v>
      </c>
      <c r="F114" s="3">
        <v>435</v>
      </c>
      <c r="G114" s="3">
        <v>491</v>
      </c>
      <c r="H114" s="3">
        <v>505</v>
      </c>
      <c r="I114" s="3">
        <v>404</v>
      </c>
      <c r="J114" s="3">
        <v>359</v>
      </c>
      <c r="L114" s="3">
        <v>310</v>
      </c>
      <c r="N114" s="3">
        <f>SUMPRODUCT(D114:J114,$D$142:$J$142)</f>
        <v>354.56160049080682</v>
      </c>
      <c r="O114" s="3">
        <f>SUMPRODUCT(D114:J114,$D$143:$J$143)</f>
        <v>354.55909305097384</v>
      </c>
      <c r="R114" s="2">
        <v>21306</v>
      </c>
      <c r="S114" s="3">
        <v>363</v>
      </c>
      <c r="T114" s="3">
        <f t="shared" si="1"/>
        <v>339.44794342525302</v>
      </c>
      <c r="U114" s="3"/>
    </row>
    <row r="115" spans="1:21" x14ac:dyDescent="0.3">
      <c r="A115" s="2">
        <v>21337</v>
      </c>
      <c r="B115" s="3">
        <v>435</v>
      </c>
      <c r="D115" s="3">
        <v>1</v>
      </c>
      <c r="E115" s="3">
        <v>435</v>
      </c>
      <c r="F115" s="3">
        <v>491</v>
      </c>
      <c r="G115" s="3">
        <v>505</v>
      </c>
      <c r="H115" s="3">
        <v>404</v>
      </c>
      <c r="I115" s="3">
        <v>359</v>
      </c>
      <c r="J115" s="3">
        <v>310</v>
      </c>
      <c r="L115" s="3">
        <v>337</v>
      </c>
      <c r="N115" s="3">
        <f>SUMPRODUCT(D115:J115,$D$142:$J$142)</f>
        <v>310.21316128684236</v>
      </c>
      <c r="O115" s="3">
        <f>SUMPRODUCT(D115:J115,$D$143:$J$143)</f>
        <v>310.21268165555091</v>
      </c>
      <c r="R115" s="2">
        <v>21337</v>
      </c>
      <c r="S115" s="3">
        <v>435</v>
      </c>
      <c r="T115" s="3">
        <f t="shared" si="1"/>
        <v>375.20111297870199</v>
      </c>
      <c r="U115" s="3"/>
    </row>
    <row r="116" spans="1:21" x14ac:dyDescent="0.3">
      <c r="A116" s="2">
        <v>21367</v>
      </c>
      <c r="B116" s="3">
        <v>491</v>
      </c>
      <c r="D116" s="3">
        <v>1</v>
      </c>
      <c r="E116" s="3">
        <v>491</v>
      </c>
      <c r="F116" s="3">
        <v>505</v>
      </c>
      <c r="G116" s="3">
        <v>404</v>
      </c>
      <c r="H116" s="3">
        <v>359</v>
      </c>
      <c r="I116" s="3">
        <v>310</v>
      </c>
      <c r="J116" s="3">
        <v>337</v>
      </c>
      <c r="L116" s="3">
        <v>360</v>
      </c>
      <c r="N116" s="3">
        <f>SUMPRODUCT(D116:J116,$D$142:$J$142)</f>
        <v>384.3401813625635</v>
      </c>
      <c r="O116" s="3">
        <f>SUMPRODUCT(D116:J116,$D$143:$J$143)</f>
        <v>384.33979342796255</v>
      </c>
      <c r="R116" s="2">
        <v>21367</v>
      </c>
      <c r="S116" s="3">
        <v>491</v>
      </c>
      <c r="T116" s="3">
        <f t="shared" si="1"/>
        <v>442.42444234170387</v>
      </c>
      <c r="U116" s="3"/>
    </row>
    <row r="117" spans="1:21" x14ac:dyDescent="0.3">
      <c r="A117" s="2">
        <v>21398</v>
      </c>
      <c r="B117" s="3">
        <v>505</v>
      </c>
      <c r="D117" s="3">
        <v>1</v>
      </c>
      <c r="E117" s="3">
        <v>505</v>
      </c>
      <c r="F117" s="3">
        <v>404</v>
      </c>
      <c r="G117" s="3">
        <v>359</v>
      </c>
      <c r="H117" s="3">
        <v>310</v>
      </c>
      <c r="I117" s="3">
        <v>337</v>
      </c>
      <c r="J117" s="3">
        <v>360</v>
      </c>
      <c r="L117" s="3">
        <v>342</v>
      </c>
      <c r="N117" s="3">
        <f>SUMPRODUCT(D117:J117,$D$142:$J$142)</f>
        <v>370.92179833814447</v>
      </c>
      <c r="O117" s="3">
        <f>SUMPRODUCT(D117:J117,$D$143:$J$143)</f>
        <v>370.92619913964904</v>
      </c>
      <c r="R117" s="2">
        <v>21398</v>
      </c>
      <c r="S117" s="3">
        <v>505</v>
      </c>
      <c r="T117" s="3">
        <f t="shared" si="1"/>
        <v>499.5595258543575</v>
      </c>
      <c r="U117" s="3"/>
    </row>
    <row r="118" spans="1:21" x14ac:dyDescent="0.3">
      <c r="A118" s="2">
        <v>21429</v>
      </c>
      <c r="B118" s="3">
        <v>404</v>
      </c>
      <c r="D118" s="3">
        <v>1</v>
      </c>
      <c r="E118" s="3">
        <v>404</v>
      </c>
      <c r="F118" s="3">
        <v>359</v>
      </c>
      <c r="G118" s="3">
        <v>310</v>
      </c>
      <c r="H118" s="3">
        <v>337</v>
      </c>
      <c r="I118" s="3">
        <v>360</v>
      </c>
      <c r="J118" s="3">
        <v>342</v>
      </c>
      <c r="L118" s="3">
        <v>406</v>
      </c>
      <c r="N118" s="3">
        <f>SUMPRODUCT(D118:J118,$D$142:$J$142)</f>
        <v>342.43765026883136</v>
      </c>
      <c r="O118" s="3">
        <f>SUMPRODUCT(D118:J118,$D$143:$J$143)</f>
        <v>342.43804988981776</v>
      </c>
      <c r="R118" s="2">
        <v>21429</v>
      </c>
      <c r="S118" s="3">
        <v>404</v>
      </c>
      <c r="T118" s="3">
        <f t="shared" si="1"/>
        <v>489.73964415294461</v>
      </c>
      <c r="U118" s="3"/>
    </row>
    <row r="119" spans="1:21" x14ac:dyDescent="0.3">
      <c r="A119" s="2">
        <v>21459</v>
      </c>
      <c r="B119" s="3">
        <v>359</v>
      </c>
      <c r="D119" s="3">
        <v>1</v>
      </c>
      <c r="E119" s="3">
        <v>359</v>
      </c>
      <c r="F119" s="3">
        <v>310</v>
      </c>
      <c r="G119" s="3">
        <v>337</v>
      </c>
      <c r="H119" s="3">
        <v>360</v>
      </c>
      <c r="I119" s="3">
        <v>342</v>
      </c>
      <c r="J119" s="3">
        <v>406</v>
      </c>
      <c r="L119" s="3">
        <v>396</v>
      </c>
      <c r="N119" s="3">
        <f>SUMPRODUCT(D119:J119,$D$142:$J$142)</f>
        <v>418.35293230432893</v>
      </c>
      <c r="O119" s="3">
        <f>SUMPRODUCT(D119:J119,$D$143:$J$143)</f>
        <v>418.35614564382269</v>
      </c>
      <c r="R119" s="2">
        <v>21459</v>
      </c>
      <c r="S119" s="3">
        <v>359</v>
      </c>
      <c r="T119" s="3">
        <f t="shared" si="1"/>
        <v>351.36968125496065</v>
      </c>
      <c r="U119" s="3"/>
    </row>
    <row r="120" spans="1:21" x14ac:dyDescent="0.3">
      <c r="A120" s="2">
        <v>21490</v>
      </c>
      <c r="B120" s="3">
        <v>310</v>
      </c>
      <c r="D120" s="9">
        <v>1</v>
      </c>
      <c r="E120" s="9">
        <v>310</v>
      </c>
      <c r="F120" s="9">
        <v>337</v>
      </c>
      <c r="G120" s="9">
        <v>360</v>
      </c>
      <c r="H120" s="9">
        <v>342</v>
      </c>
      <c r="I120" s="9">
        <v>406</v>
      </c>
      <c r="J120" s="9">
        <v>396</v>
      </c>
      <c r="K120" s="10"/>
      <c r="L120" s="9">
        <v>420</v>
      </c>
      <c r="M120" s="10"/>
      <c r="N120" s="9">
        <f>SUMPRODUCT(D120:J120,$D$142:$J$142)</f>
        <v>378.89631595789149</v>
      </c>
      <c r="O120" s="9">
        <f>SUMPRODUCT(D120:J120,$D$143:$J$143)</f>
        <v>378.89693011250642</v>
      </c>
      <c r="R120" s="2">
        <v>21490</v>
      </c>
      <c r="S120" s="3">
        <v>310</v>
      </c>
      <c r="T120" s="3">
        <f t="shared" si="1"/>
        <v>354.55909305097384</v>
      </c>
      <c r="U120" s="3"/>
    </row>
    <row r="121" spans="1:21" x14ac:dyDescent="0.3">
      <c r="A121" s="2">
        <v>21520</v>
      </c>
      <c r="B121" s="3">
        <v>337</v>
      </c>
      <c r="D121" s="9">
        <v>1</v>
      </c>
      <c r="E121" s="9">
        <v>337</v>
      </c>
      <c r="F121" s="9">
        <v>360</v>
      </c>
      <c r="G121" s="9">
        <v>342</v>
      </c>
      <c r="H121" s="9">
        <v>406</v>
      </c>
      <c r="I121" s="9">
        <v>396</v>
      </c>
      <c r="J121" s="9">
        <v>420</v>
      </c>
      <c r="K121" s="10"/>
      <c r="L121" s="9">
        <v>472</v>
      </c>
      <c r="M121" s="10"/>
      <c r="N121" s="9">
        <f>SUMPRODUCT(D121:J121,$D$142:$J$142)</f>
        <v>432.33617793719611</v>
      </c>
      <c r="O121" s="9">
        <f>SUMPRODUCT(D121:J121,$D$143:$J$143)</f>
        <v>432.335159725869</v>
      </c>
      <c r="R121" s="2">
        <v>21520</v>
      </c>
      <c r="S121" s="3">
        <v>337</v>
      </c>
      <c r="T121" s="3">
        <f t="shared" si="1"/>
        <v>310.21268165555091</v>
      </c>
      <c r="U121" s="3"/>
    </row>
    <row r="122" spans="1:21" x14ac:dyDescent="0.3">
      <c r="A122" s="2">
        <v>21551</v>
      </c>
      <c r="B122" s="3">
        <v>360</v>
      </c>
      <c r="D122" s="9">
        <v>1</v>
      </c>
      <c r="E122" s="9">
        <v>360</v>
      </c>
      <c r="F122" s="9">
        <v>342</v>
      </c>
      <c r="G122" s="9">
        <v>406</v>
      </c>
      <c r="H122" s="9">
        <v>396</v>
      </c>
      <c r="I122" s="9">
        <v>420</v>
      </c>
      <c r="J122" s="9">
        <v>472</v>
      </c>
      <c r="K122" s="10"/>
      <c r="L122" s="9">
        <v>548</v>
      </c>
      <c r="M122" s="10"/>
      <c r="N122" s="9">
        <f>SUMPRODUCT(D122:J122,$D$142:$J$142)</f>
        <v>465.97991789472457</v>
      </c>
      <c r="O122" s="9">
        <f>SUMPRODUCT(D122:J122,$D$143:$J$143)</f>
        <v>465.98356273078036</v>
      </c>
      <c r="R122" s="2">
        <v>21551</v>
      </c>
      <c r="S122" s="3">
        <v>360</v>
      </c>
      <c r="T122" s="3">
        <f t="shared" si="1"/>
        <v>384.33979342796255</v>
      </c>
      <c r="U122" s="3"/>
    </row>
    <row r="123" spans="1:21" x14ac:dyDescent="0.3">
      <c r="A123" s="2">
        <v>21582</v>
      </c>
      <c r="B123" s="3">
        <v>342</v>
      </c>
      <c r="D123" s="9">
        <v>1</v>
      </c>
      <c r="E123" s="9">
        <v>342</v>
      </c>
      <c r="F123" s="9">
        <v>406</v>
      </c>
      <c r="G123" s="9">
        <v>396</v>
      </c>
      <c r="H123" s="9">
        <v>420</v>
      </c>
      <c r="I123" s="9">
        <v>472</v>
      </c>
      <c r="J123" s="9">
        <v>548</v>
      </c>
      <c r="K123" s="10"/>
      <c r="L123" s="9">
        <v>559</v>
      </c>
      <c r="M123" s="10"/>
      <c r="N123" s="9">
        <f>SUMPRODUCT(D123:J123,$D$142:$J$142)</f>
        <v>564.93542223304837</v>
      </c>
      <c r="O123" s="9">
        <f>SUMPRODUCT(D123:J123,$D$143:$J$143)</f>
        <v>564.93575604761816</v>
      </c>
      <c r="R123" s="2">
        <v>21582</v>
      </c>
      <c r="S123" s="3">
        <v>342</v>
      </c>
      <c r="T123" s="3">
        <f t="shared" si="1"/>
        <v>370.92619913964904</v>
      </c>
      <c r="U123" s="3"/>
    </row>
    <row r="124" spans="1:21" x14ac:dyDescent="0.3">
      <c r="A124" s="2">
        <v>21610</v>
      </c>
      <c r="B124" s="3">
        <v>406</v>
      </c>
      <c r="D124" s="9">
        <v>1</v>
      </c>
      <c r="E124" s="9">
        <v>406</v>
      </c>
      <c r="F124" s="9">
        <v>396</v>
      </c>
      <c r="G124" s="9">
        <v>420</v>
      </c>
      <c r="H124" s="9">
        <v>472</v>
      </c>
      <c r="I124" s="9">
        <v>548</v>
      </c>
      <c r="J124" s="9">
        <v>559</v>
      </c>
      <c r="K124" s="10"/>
      <c r="L124" s="9">
        <v>463</v>
      </c>
      <c r="M124" s="10"/>
      <c r="N124" s="9">
        <f>SUMPRODUCT(D124:J124,$D$142:$J$142)</f>
        <v>537.06514002117615</v>
      </c>
      <c r="O124" s="9">
        <f>SUMPRODUCT(D124:J124,$D$143:$J$143)</f>
        <v>537.06667843265961</v>
      </c>
      <c r="R124" s="2">
        <v>21610</v>
      </c>
      <c r="S124" s="3">
        <v>406</v>
      </c>
      <c r="T124" s="3">
        <f t="shared" si="1"/>
        <v>342.43804988981776</v>
      </c>
      <c r="U124" s="3"/>
    </row>
    <row r="125" spans="1:21" x14ac:dyDescent="0.3">
      <c r="A125" s="2">
        <v>21641</v>
      </c>
      <c r="B125" s="3">
        <v>396</v>
      </c>
      <c r="D125" s="9">
        <v>1</v>
      </c>
      <c r="E125" s="9">
        <v>396</v>
      </c>
      <c r="F125" s="9">
        <v>420</v>
      </c>
      <c r="G125" s="9">
        <v>472</v>
      </c>
      <c r="H125" s="9">
        <v>548</v>
      </c>
      <c r="I125" s="9">
        <v>559</v>
      </c>
      <c r="J125" s="9">
        <v>463</v>
      </c>
      <c r="K125" s="10"/>
      <c r="L125" s="9">
        <v>407</v>
      </c>
      <c r="M125" s="10"/>
      <c r="N125" s="9">
        <f>SUMPRODUCT(D125:J125,$D$142:$J$142)</f>
        <v>415.92106752820388</v>
      </c>
      <c r="O125" s="9">
        <f>SUMPRODUCT(D125:J125,$D$143:$J$143)</f>
        <v>415.91886694722007</v>
      </c>
      <c r="R125" s="2">
        <v>21641</v>
      </c>
      <c r="S125" s="3">
        <v>396</v>
      </c>
      <c r="T125" s="3">
        <f t="shared" si="1"/>
        <v>418.35614564382269</v>
      </c>
      <c r="U125" s="3"/>
    </row>
    <row r="126" spans="1:21" x14ac:dyDescent="0.3">
      <c r="A126" s="2">
        <v>21671</v>
      </c>
      <c r="B126" s="3">
        <v>420</v>
      </c>
      <c r="D126" s="9">
        <v>1</v>
      </c>
      <c r="E126" s="9">
        <v>420</v>
      </c>
      <c r="F126" s="9">
        <v>472</v>
      </c>
      <c r="G126" s="9">
        <v>548</v>
      </c>
      <c r="H126" s="9">
        <v>559</v>
      </c>
      <c r="I126" s="9">
        <v>463</v>
      </c>
      <c r="J126" s="9">
        <v>407</v>
      </c>
      <c r="K126" s="10"/>
      <c r="L126" s="9">
        <v>362</v>
      </c>
      <c r="M126" s="10"/>
      <c r="N126" s="9">
        <f>SUMPRODUCT(D126:J126,$D$142:$J$142)</f>
        <v>391.19539319366675</v>
      </c>
      <c r="O126" s="9">
        <f>SUMPRODUCT(D126:J126,$D$143:$J$143)</f>
        <v>391.19384226965229</v>
      </c>
      <c r="R126" s="2">
        <v>21671</v>
      </c>
      <c r="S126" s="3">
        <v>420</v>
      </c>
      <c r="T126" s="3">
        <f t="shared" si="1"/>
        <v>378.89693011250642</v>
      </c>
      <c r="U126" s="3"/>
    </row>
    <row r="127" spans="1:21" x14ac:dyDescent="0.3">
      <c r="A127" s="2">
        <v>21702</v>
      </c>
      <c r="B127" s="3">
        <v>472</v>
      </c>
      <c r="D127" s="9">
        <v>1</v>
      </c>
      <c r="E127" s="9">
        <v>472</v>
      </c>
      <c r="F127" s="9">
        <v>548</v>
      </c>
      <c r="G127" s="9">
        <v>559</v>
      </c>
      <c r="H127" s="9">
        <v>463</v>
      </c>
      <c r="I127" s="9">
        <v>407</v>
      </c>
      <c r="J127" s="9">
        <v>362</v>
      </c>
      <c r="K127" s="10"/>
      <c r="L127" s="9">
        <v>405</v>
      </c>
      <c r="M127" s="10"/>
      <c r="N127" s="9">
        <f>SUMPRODUCT(D127:J127,$D$142:$J$142)</f>
        <v>366.13707142494536</v>
      </c>
      <c r="O127" s="9">
        <f>SUMPRODUCT(D127:J127,$D$143:$J$143)</f>
        <v>366.13605994000659</v>
      </c>
      <c r="R127" s="2">
        <v>21702</v>
      </c>
      <c r="S127" s="3">
        <v>472</v>
      </c>
      <c r="T127" s="3">
        <f t="shared" si="1"/>
        <v>432.335159725869</v>
      </c>
      <c r="U127" s="3"/>
    </row>
    <row r="128" spans="1:21" x14ac:dyDescent="0.3">
      <c r="A128" s="2">
        <v>21732</v>
      </c>
      <c r="B128" s="3">
        <v>548</v>
      </c>
      <c r="D128" s="9">
        <v>1</v>
      </c>
      <c r="E128" s="9">
        <v>548</v>
      </c>
      <c r="F128" s="9">
        <v>559</v>
      </c>
      <c r="G128" s="9">
        <v>463</v>
      </c>
      <c r="H128" s="9">
        <v>407</v>
      </c>
      <c r="I128" s="9">
        <v>362</v>
      </c>
      <c r="J128" s="9">
        <v>405</v>
      </c>
      <c r="K128" s="10"/>
      <c r="L128" s="9">
        <v>417</v>
      </c>
      <c r="M128" s="10"/>
      <c r="N128" s="9">
        <f>SUMPRODUCT(D128:J128,$D$142:$J$142)</f>
        <v>454.21200027554607</v>
      </c>
      <c r="O128" s="9">
        <f>SUMPRODUCT(D128:J128,$D$143:$J$143)</f>
        <v>454.21254809304583</v>
      </c>
      <c r="R128" s="2">
        <v>21732</v>
      </c>
      <c r="S128" s="3">
        <v>548</v>
      </c>
      <c r="T128" s="3">
        <f t="shared" si="1"/>
        <v>465.98356273078036</v>
      </c>
      <c r="U128" s="3"/>
    </row>
    <row r="129" spans="1:21" x14ac:dyDescent="0.3">
      <c r="A129" s="2">
        <v>21763</v>
      </c>
      <c r="B129" s="3">
        <v>559</v>
      </c>
      <c r="D129" s="9">
        <v>1</v>
      </c>
      <c r="E129" s="9">
        <v>559</v>
      </c>
      <c r="F129" s="9">
        <v>463</v>
      </c>
      <c r="G129" s="9">
        <v>407</v>
      </c>
      <c r="H129" s="9">
        <v>362</v>
      </c>
      <c r="I129" s="9">
        <v>405</v>
      </c>
      <c r="J129" s="9">
        <v>417</v>
      </c>
      <c r="K129" s="10"/>
      <c r="L129" s="9">
        <v>391</v>
      </c>
      <c r="M129" s="10"/>
      <c r="N129" s="9">
        <f>SUMPRODUCT(D129:J129,$D$142:$J$142)</f>
        <v>423.44379254291403</v>
      </c>
      <c r="O129" s="9">
        <f>SUMPRODUCT(D129:J129,$D$143:$J$143)</f>
        <v>423.44790670401107</v>
      </c>
      <c r="R129" s="2">
        <v>21763</v>
      </c>
      <c r="S129" s="3">
        <v>559</v>
      </c>
      <c r="T129" s="3">
        <f t="shared" si="1"/>
        <v>564.93575604761816</v>
      </c>
      <c r="U129" s="3"/>
    </row>
    <row r="130" spans="1:21" x14ac:dyDescent="0.3">
      <c r="A130" s="2">
        <v>21794</v>
      </c>
      <c r="B130" s="3">
        <v>463</v>
      </c>
      <c r="D130" s="9">
        <v>1</v>
      </c>
      <c r="E130" s="9">
        <v>463</v>
      </c>
      <c r="F130" s="9">
        <v>407</v>
      </c>
      <c r="G130" s="9">
        <v>362</v>
      </c>
      <c r="H130" s="9">
        <v>405</v>
      </c>
      <c r="I130" s="9">
        <v>417</v>
      </c>
      <c r="J130" s="9">
        <v>391</v>
      </c>
      <c r="K130" s="10"/>
      <c r="L130" s="9">
        <v>419</v>
      </c>
      <c r="M130" s="10"/>
      <c r="N130" s="9">
        <f t="shared" ref="N130:N139" si="2">SUMPRODUCT(D130:J130,$D$142:$J$142)</f>
        <v>387.54542828389611</v>
      </c>
      <c r="O130" s="9">
        <f t="shared" ref="O130:O139" si="3">SUMPRODUCT(D130:J130,$D$143:$J$143)</f>
        <v>387.54590954547234</v>
      </c>
      <c r="R130" s="2">
        <v>21794</v>
      </c>
      <c r="S130" s="3">
        <v>463</v>
      </c>
      <c r="T130" s="3">
        <f t="shared" si="1"/>
        <v>537.06667843265961</v>
      </c>
      <c r="U130" s="3"/>
    </row>
    <row r="131" spans="1:21" x14ac:dyDescent="0.3">
      <c r="A131" s="2">
        <v>21824</v>
      </c>
      <c r="B131" s="3">
        <v>407</v>
      </c>
      <c r="D131" s="9">
        <v>1</v>
      </c>
      <c r="E131" s="9">
        <v>407</v>
      </c>
      <c r="F131" s="9">
        <v>362</v>
      </c>
      <c r="G131" s="9">
        <v>405</v>
      </c>
      <c r="H131" s="9">
        <v>417</v>
      </c>
      <c r="I131" s="9">
        <v>391</v>
      </c>
      <c r="J131" s="9">
        <v>419</v>
      </c>
      <c r="K131" s="10"/>
      <c r="L131" s="9">
        <v>461</v>
      </c>
      <c r="M131" s="10"/>
      <c r="N131" s="9">
        <f t="shared" si="2"/>
        <v>418.26330280154912</v>
      </c>
      <c r="O131" s="9">
        <f t="shared" si="3"/>
        <v>418.26617158879549</v>
      </c>
      <c r="R131" s="2">
        <v>21824</v>
      </c>
      <c r="S131" s="3">
        <v>407</v>
      </c>
      <c r="T131" s="3">
        <f t="shared" si="1"/>
        <v>415.91886694722007</v>
      </c>
      <c r="U131" s="3"/>
    </row>
    <row r="132" spans="1:21" x14ac:dyDescent="0.3">
      <c r="A132" s="2">
        <v>21855</v>
      </c>
      <c r="B132" s="3">
        <v>362</v>
      </c>
      <c r="D132" s="9">
        <v>1</v>
      </c>
      <c r="E132" s="9">
        <v>362</v>
      </c>
      <c r="F132" s="9">
        <v>405</v>
      </c>
      <c r="G132" s="9">
        <v>417</v>
      </c>
      <c r="H132" s="9">
        <v>391</v>
      </c>
      <c r="I132" s="9">
        <v>419</v>
      </c>
      <c r="J132" s="9">
        <v>461</v>
      </c>
      <c r="K132" s="10"/>
      <c r="L132" s="9">
        <v>472</v>
      </c>
      <c r="M132" s="10"/>
      <c r="N132" s="9">
        <f t="shared" si="2"/>
        <v>469.07921221770914</v>
      </c>
      <c r="O132" s="9">
        <f t="shared" si="3"/>
        <v>469.08034165980456</v>
      </c>
      <c r="R132" s="2">
        <v>21855</v>
      </c>
      <c r="S132" s="3">
        <v>362</v>
      </c>
      <c r="T132" s="3">
        <f t="shared" si="1"/>
        <v>391.19384226965229</v>
      </c>
      <c r="U132" s="3"/>
    </row>
    <row r="133" spans="1:21" x14ac:dyDescent="0.3">
      <c r="A133" s="2">
        <v>21885</v>
      </c>
      <c r="B133" s="3">
        <v>405</v>
      </c>
      <c r="D133" s="9">
        <v>1</v>
      </c>
      <c r="E133" s="9">
        <v>405</v>
      </c>
      <c r="F133" s="9">
        <v>417</v>
      </c>
      <c r="G133" s="9">
        <v>391</v>
      </c>
      <c r="H133" s="9">
        <v>419</v>
      </c>
      <c r="I133" s="9">
        <v>461</v>
      </c>
      <c r="J133" s="9">
        <v>472</v>
      </c>
      <c r="K133" s="10"/>
      <c r="L133" s="9">
        <v>535</v>
      </c>
      <c r="M133" s="10"/>
      <c r="N133" s="9">
        <f t="shared" si="2"/>
        <v>472.99713836137931</v>
      </c>
      <c r="O133" s="9">
        <f t="shared" si="3"/>
        <v>472.99722799334722</v>
      </c>
      <c r="R133" s="2">
        <v>21885</v>
      </c>
      <c r="S133" s="3">
        <v>405</v>
      </c>
      <c r="T133" s="3">
        <f t="shared" si="1"/>
        <v>366.13605994000659</v>
      </c>
      <c r="U133" s="3"/>
    </row>
    <row r="134" spans="1:21" x14ac:dyDescent="0.3">
      <c r="A134" s="14">
        <v>21916</v>
      </c>
      <c r="B134" s="15">
        <v>417</v>
      </c>
      <c r="D134" s="12">
        <v>1</v>
      </c>
      <c r="E134" s="12">
        <f t="shared" ref="E129:J139" si="4">F133</f>
        <v>417</v>
      </c>
      <c r="F134" s="12">
        <f t="shared" si="4"/>
        <v>391</v>
      </c>
      <c r="G134" s="12">
        <f t="shared" si="4"/>
        <v>419</v>
      </c>
      <c r="H134" s="12">
        <f t="shared" si="4"/>
        <v>461</v>
      </c>
      <c r="I134" s="12">
        <f t="shared" si="4"/>
        <v>472</v>
      </c>
      <c r="J134" s="12">
        <f t="shared" ref="J130:J139" si="5">O133</f>
        <v>472.99722799334722</v>
      </c>
      <c r="L134" s="12"/>
      <c r="N134" s="12">
        <f t="shared" si="2"/>
        <v>459.85574377622697</v>
      </c>
      <c r="O134" s="12">
        <f t="shared" si="3"/>
        <v>459.85716793212555</v>
      </c>
      <c r="R134" s="11">
        <v>21916</v>
      </c>
      <c r="S134" s="9">
        <v>417</v>
      </c>
      <c r="T134" s="9">
        <f t="shared" si="1"/>
        <v>454.21254809304583</v>
      </c>
      <c r="U134" s="9"/>
    </row>
    <row r="135" spans="1:21" x14ac:dyDescent="0.3">
      <c r="A135" s="14">
        <v>21947</v>
      </c>
      <c r="B135" s="15">
        <v>391</v>
      </c>
      <c r="D135" s="8">
        <v>1</v>
      </c>
      <c r="E135" s="8">
        <f t="shared" si="4"/>
        <v>391</v>
      </c>
      <c r="F135" s="8">
        <f t="shared" si="4"/>
        <v>419</v>
      </c>
      <c r="G135" s="8">
        <f t="shared" si="4"/>
        <v>461</v>
      </c>
      <c r="H135" s="8">
        <f t="shared" si="4"/>
        <v>472</v>
      </c>
      <c r="I135" s="8">
        <f t="shared" si="4"/>
        <v>472.99722799334722</v>
      </c>
      <c r="J135" s="8">
        <f t="shared" si="5"/>
        <v>459.85716793212555</v>
      </c>
      <c r="L135" s="8"/>
      <c r="N135" s="8">
        <f t="shared" si="2"/>
        <v>445.744590341888</v>
      </c>
      <c r="O135" s="8">
        <f t="shared" si="3"/>
        <v>445.7447728014057</v>
      </c>
      <c r="R135" s="11">
        <v>21947</v>
      </c>
      <c r="S135" s="9">
        <v>391</v>
      </c>
      <c r="T135" s="9">
        <f t="shared" si="1"/>
        <v>423.44790670401107</v>
      </c>
      <c r="U135" s="9"/>
    </row>
    <row r="136" spans="1:21" x14ac:dyDescent="0.3">
      <c r="A136" s="14">
        <v>21976</v>
      </c>
      <c r="B136" s="15">
        <v>419</v>
      </c>
      <c r="D136" s="8">
        <v>1</v>
      </c>
      <c r="E136" s="8">
        <f t="shared" si="4"/>
        <v>419</v>
      </c>
      <c r="F136" s="8">
        <f t="shared" si="4"/>
        <v>461</v>
      </c>
      <c r="G136" s="8">
        <f t="shared" si="4"/>
        <v>472</v>
      </c>
      <c r="H136" s="8">
        <f t="shared" si="4"/>
        <v>472.99722799334722</v>
      </c>
      <c r="I136" s="8">
        <f t="shared" si="4"/>
        <v>459.85716793212555</v>
      </c>
      <c r="J136" s="8">
        <f t="shared" si="5"/>
        <v>445.7447728014057</v>
      </c>
      <c r="L136" s="8"/>
      <c r="N136" s="8">
        <f t="shared" si="2"/>
        <v>443.30358753815068</v>
      </c>
      <c r="O136" s="8">
        <f t="shared" si="3"/>
        <v>443.30293988069707</v>
      </c>
      <c r="R136" s="11">
        <v>21976</v>
      </c>
      <c r="S136" s="9">
        <v>419</v>
      </c>
      <c r="T136" s="9">
        <f t="shared" si="1"/>
        <v>387.54590954547234</v>
      </c>
      <c r="U136" s="9"/>
    </row>
    <row r="137" spans="1:21" x14ac:dyDescent="0.3">
      <c r="A137" s="14">
        <v>22007</v>
      </c>
      <c r="B137" s="15">
        <v>461</v>
      </c>
      <c r="D137" s="8">
        <v>1</v>
      </c>
      <c r="E137" s="8">
        <f t="shared" si="4"/>
        <v>461</v>
      </c>
      <c r="F137" s="8">
        <f t="shared" si="4"/>
        <v>472</v>
      </c>
      <c r="G137" s="8">
        <f t="shared" si="4"/>
        <v>472.99722799334722</v>
      </c>
      <c r="H137" s="8">
        <f t="shared" si="4"/>
        <v>459.85716793212555</v>
      </c>
      <c r="I137" s="8">
        <f t="shared" si="4"/>
        <v>445.7447728014057</v>
      </c>
      <c r="J137" s="8">
        <f t="shared" si="5"/>
        <v>443.30293988069707</v>
      </c>
      <c r="L137" s="8"/>
      <c r="N137" s="8">
        <f t="shared" si="2"/>
        <v>445.89361328506743</v>
      </c>
      <c r="O137" s="8">
        <f t="shared" si="3"/>
        <v>445.89422874460149</v>
      </c>
      <c r="R137" s="11">
        <v>22007</v>
      </c>
      <c r="S137" s="9">
        <v>461</v>
      </c>
      <c r="T137" s="9">
        <f t="shared" ref="T137:T139" si="6">O131</f>
        <v>418.26617158879549</v>
      </c>
      <c r="U137" s="9"/>
    </row>
    <row r="138" spans="1:21" x14ac:dyDescent="0.3">
      <c r="A138" s="14">
        <v>22037</v>
      </c>
      <c r="B138" s="15">
        <v>472</v>
      </c>
      <c r="D138" s="8">
        <v>1</v>
      </c>
      <c r="E138" s="8">
        <f t="shared" si="4"/>
        <v>472</v>
      </c>
      <c r="F138" s="8">
        <f t="shared" si="4"/>
        <v>472.99722799334722</v>
      </c>
      <c r="G138" s="8">
        <f t="shared" si="4"/>
        <v>459.85716793212555</v>
      </c>
      <c r="H138" s="8">
        <f t="shared" si="4"/>
        <v>445.7447728014057</v>
      </c>
      <c r="I138" s="8">
        <f t="shared" si="4"/>
        <v>443.30293988069707</v>
      </c>
      <c r="J138" s="8">
        <f t="shared" si="5"/>
        <v>445.89422874460149</v>
      </c>
      <c r="L138" s="8"/>
      <c r="N138" s="8">
        <f t="shared" si="2"/>
        <v>450.85803764754741</v>
      </c>
      <c r="O138" s="8">
        <f t="shared" si="3"/>
        <v>450.85893704227027</v>
      </c>
      <c r="R138" s="11">
        <v>22037</v>
      </c>
      <c r="S138" s="9">
        <v>472</v>
      </c>
      <c r="T138" s="9">
        <f t="shared" si="6"/>
        <v>469.08034165980456</v>
      </c>
      <c r="U138" s="9"/>
    </row>
    <row r="139" spans="1:21" x14ac:dyDescent="0.3">
      <c r="A139" s="14">
        <v>22068</v>
      </c>
      <c r="B139" s="15">
        <v>535</v>
      </c>
      <c r="D139" s="8">
        <v>1</v>
      </c>
      <c r="E139" s="8">
        <f t="shared" si="4"/>
        <v>472.99722799334722</v>
      </c>
      <c r="F139" s="8">
        <f t="shared" si="4"/>
        <v>459.85716793212555</v>
      </c>
      <c r="G139" s="8">
        <f t="shared" si="4"/>
        <v>445.7447728014057</v>
      </c>
      <c r="H139" s="8">
        <f t="shared" si="4"/>
        <v>443.30293988069707</v>
      </c>
      <c r="I139" s="8">
        <f t="shared" si="4"/>
        <v>445.89422874460149</v>
      </c>
      <c r="J139" s="8">
        <f t="shared" si="5"/>
        <v>450.85893704227027</v>
      </c>
      <c r="L139" s="8"/>
      <c r="N139" s="8">
        <f t="shared" si="2"/>
        <v>454.36360645029004</v>
      </c>
      <c r="O139" s="8">
        <f t="shared" si="3"/>
        <v>454.36479799016604</v>
      </c>
      <c r="R139" s="11">
        <v>22068</v>
      </c>
      <c r="S139" s="9">
        <v>535</v>
      </c>
      <c r="T139" s="9">
        <f t="shared" si="6"/>
        <v>472.99722799334722</v>
      </c>
      <c r="U139" s="9"/>
    </row>
    <row r="140" spans="1:21" x14ac:dyDescent="0.3">
      <c r="A140" s="4">
        <v>22098</v>
      </c>
      <c r="B140" s="5">
        <v>622</v>
      </c>
      <c r="R140" s="4">
        <v>22098</v>
      </c>
      <c r="S140" s="5">
        <v>622</v>
      </c>
      <c r="T140" s="5"/>
      <c r="U140" s="5">
        <f>O134</f>
        <v>459.85716793212555</v>
      </c>
    </row>
    <row r="141" spans="1:21" x14ac:dyDescent="0.3">
      <c r="A141" s="4">
        <v>22129</v>
      </c>
      <c r="B141" s="5">
        <v>606</v>
      </c>
      <c r="D141" s="1" t="s">
        <v>2</v>
      </c>
      <c r="E141" s="1" t="s">
        <v>3</v>
      </c>
      <c r="F141" s="1" t="s">
        <v>4</v>
      </c>
      <c r="G141" s="1" t="s">
        <v>5</v>
      </c>
      <c r="H141" s="1" t="s">
        <v>6</v>
      </c>
      <c r="I141" s="1" t="s">
        <v>7</v>
      </c>
      <c r="J141" s="1" t="s">
        <v>8</v>
      </c>
      <c r="N141" s="1" t="s">
        <v>17</v>
      </c>
      <c r="O141" s="1" t="s">
        <v>17</v>
      </c>
      <c r="R141" s="4">
        <v>22129</v>
      </c>
      <c r="S141" s="5">
        <v>606</v>
      </c>
      <c r="T141" s="5"/>
      <c r="U141" s="5">
        <f t="shared" ref="U141:U145" si="7">O135</f>
        <v>445.7447728014057</v>
      </c>
    </row>
    <row r="142" spans="1:21" x14ac:dyDescent="0.3">
      <c r="A142" s="4">
        <v>22160</v>
      </c>
      <c r="B142" s="5">
        <v>508</v>
      </c>
      <c r="D142" s="3">
        <v>8.6467611267826676</v>
      </c>
      <c r="E142" s="3">
        <v>-6.2416558628435613E-2</v>
      </c>
      <c r="F142" s="3">
        <v>0.31430214162559794</v>
      </c>
      <c r="G142" s="3">
        <v>-0.2052823138437451</v>
      </c>
      <c r="H142" s="3">
        <v>0.13284653547344399</v>
      </c>
      <c r="I142" s="3">
        <v>-0.4849121961105099</v>
      </c>
      <c r="J142" s="3">
        <v>1.2854074135121081</v>
      </c>
      <c r="K142" s="6" t="s">
        <v>20</v>
      </c>
      <c r="N142" s="3">
        <f t="array" ref="N142">SUM( (L2:L133-N2:N133)^2 )</f>
        <v>108566.01005523209</v>
      </c>
      <c r="O142" s="3">
        <f t="array" ref="O142">SUM( (L2:L133-O2:O133)^2 )</f>
        <v>108566.00981404465</v>
      </c>
      <c r="R142" s="4">
        <v>22160</v>
      </c>
      <c r="S142" s="5">
        <v>508</v>
      </c>
      <c r="T142" s="5"/>
      <c r="U142" s="5">
        <f t="shared" si="7"/>
        <v>443.30293988069707</v>
      </c>
    </row>
    <row r="143" spans="1:21" x14ac:dyDescent="0.3">
      <c r="A143" s="4">
        <v>22190</v>
      </c>
      <c r="B143" s="5">
        <v>461</v>
      </c>
      <c r="D143" s="13">
        <f t="array" ref="D143:J143" xml:space="preserve"> TRANSPOSE( MMULT( MMULT( MINVERSE( MMULT( TRANSPOSE( D2:J133 ), D2:J133 ) ), TRANSPOSE( D2:J133 ) ), L2:L133 ) )</f>
        <v>8.6458982060585416</v>
      </c>
      <c r="E143" s="3">
        <v>-6.2386017809628935E-2</v>
      </c>
      <c r="F143" s="3">
        <v>0.31425734405696171</v>
      </c>
      <c r="G143" s="3">
        <v>-0.20524972346604708</v>
      </c>
      <c r="H143" s="3">
        <v>0.13282305459029628</v>
      </c>
      <c r="I143" s="3">
        <v>-0.48492538653266859</v>
      </c>
      <c r="J143" s="3">
        <v>1.2854295333090804</v>
      </c>
      <c r="K143" s="6" t="s">
        <v>21</v>
      </c>
      <c r="R143" s="4">
        <v>22190</v>
      </c>
      <c r="S143" s="5">
        <v>461</v>
      </c>
      <c r="T143" s="5"/>
      <c r="U143" s="5">
        <f t="shared" si="7"/>
        <v>445.89422874460149</v>
      </c>
    </row>
    <row r="144" spans="1:21" x14ac:dyDescent="0.3">
      <c r="A144" s="4">
        <v>22221</v>
      </c>
      <c r="B144" s="5">
        <v>390</v>
      </c>
      <c r="R144" s="4">
        <v>22221</v>
      </c>
      <c r="S144" s="5">
        <v>390</v>
      </c>
      <c r="T144" s="5"/>
      <c r="U144" s="5">
        <f t="shared" si="7"/>
        <v>450.85893704227027</v>
      </c>
    </row>
    <row r="145" spans="1:21" x14ac:dyDescent="0.3">
      <c r="A145" s="4">
        <v>22251</v>
      </c>
      <c r="B145" s="5">
        <v>432</v>
      </c>
      <c r="R145" s="4">
        <v>22251</v>
      </c>
      <c r="S145" s="5">
        <v>432</v>
      </c>
      <c r="T145" s="5"/>
      <c r="U145" s="5">
        <f t="shared" si="7"/>
        <v>454.36479799016604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DATOS_MODELO_VAL1</vt:lpstr>
      <vt:lpstr>DATOS_MODELO_VAL2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Hinojosa, Miguel</dc:creator>
  <cp:lastModifiedBy>Hinojosa, Miguel</cp:lastModifiedBy>
  <dcterms:created xsi:type="dcterms:W3CDTF">2019-06-04T15:05:56Z</dcterms:created>
  <dcterms:modified xsi:type="dcterms:W3CDTF">2019-06-06T05:17:50Z</dcterms:modified>
</cp:coreProperties>
</file>