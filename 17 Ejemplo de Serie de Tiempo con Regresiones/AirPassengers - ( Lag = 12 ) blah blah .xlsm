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l.hinojosa\OneDrive - IQVIA\Archivos Personales\Ayudantías\2019-2\Seminario de Estadística\Archivos para la clase\17 Ejemplo de Serie de Tiempo con Regresiones\"/>
    </mc:Choice>
  </mc:AlternateContent>
  <xr:revisionPtr revIDLastSave="0" documentId="13_ncr:1_{6714CCC8-98C3-488D-8E4E-77EFC473FC85}" xr6:coauthVersionLast="36" xr6:coauthVersionMax="36" xr10:uidLastSave="{00000000-0000-0000-0000-000000000000}"/>
  <bookViews>
    <workbookView xWindow="0" yWindow="0" windowWidth="23040" windowHeight="8364" activeTab="1" xr2:uid="{55B84D8D-A7B5-4C35-BD98-CA3FD7E7A45D}"/>
  </bookViews>
  <sheets>
    <sheet name="DATOS_MODELO" sheetId="1" r:id="rId1"/>
    <sheet name="DATOS_PRONOSTICO" sheetId="2" r:id="rId2"/>
    <sheet name="PRECISIONES" sheetId="3" r:id="rId3"/>
  </sheets>
  <definedNames>
    <definedName name="solver_adj" localSheetId="0" hidden="1">DATOS_MODELO!$D$149:$P$149</definedName>
    <definedName name="solver_adj" localSheetId="1" hidden="1">DATOS_PRONOSTICO!$D$173:$P$173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2</definedName>
    <definedName name="solver_neg" localSheetId="1" hidden="1">2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DATOS_MODELO!$T$137</definedName>
    <definedName name="solver_opt" localSheetId="1" hidden="1">DATOS_PRONOSTICO!$T$173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4" i="1" l="1"/>
  <c r="N5" i="1" s="1"/>
  <c r="M6" i="1" s="1"/>
  <c r="L7" i="1" s="1"/>
  <c r="K8" i="1" s="1"/>
  <c r="J9" i="1" s="1"/>
  <c r="I10" i="1" s="1"/>
  <c r="H11" i="1" s="1"/>
  <c r="G12" i="1" s="1"/>
  <c r="F13" i="1" s="1"/>
  <c r="P12" i="1"/>
  <c r="O13" i="1" s="1"/>
  <c r="G13" i="1"/>
  <c r="H13" i="1"/>
  <c r="H12" i="1"/>
  <c r="I13" i="1"/>
  <c r="I12" i="1"/>
  <c r="I11" i="1"/>
  <c r="J13" i="1"/>
  <c r="J12" i="1"/>
  <c r="J11" i="1"/>
  <c r="J10" i="1"/>
  <c r="K13" i="1"/>
  <c r="K12" i="1"/>
  <c r="K11" i="1"/>
  <c r="K10" i="1"/>
  <c r="K9" i="1"/>
  <c r="L13" i="1"/>
  <c r="L12" i="1"/>
  <c r="L11" i="1"/>
  <c r="L10" i="1"/>
  <c r="L9" i="1"/>
  <c r="L8" i="1"/>
  <c r="M13" i="1"/>
  <c r="M12" i="1"/>
  <c r="M11" i="1"/>
  <c r="M10" i="1"/>
  <c r="M9" i="1"/>
  <c r="M8" i="1"/>
  <c r="M7" i="1"/>
  <c r="N13" i="1"/>
  <c r="N12" i="1"/>
  <c r="N11" i="1"/>
  <c r="N10" i="1"/>
  <c r="N9" i="1"/>
  <c r="N8" i="1"/>
  <c r="N7" i="1"/>
  <c r="N6" i="1"/>
  <c r="O12" i="1"/>
  <c r="O11" i="1"/>
  <c r="O10" i="1"/>
  <c r="O9" i="1"/>
  <c r="O8" i="1"/>
  <c r="O7" i="1"/>
  <c r="O6" i="1"/>
  <c r="O5" i="1"/>
  <c r="P13" i="1"/>
  <c r="P11" i="1"/>
  <c r="P10" i="1"/>
  <c r="P9" i="1"/>
  <c r="P8" i="1"/>
  <c r="P7" i="1"/>
  <c r="P6" i="1"/>
  <c r="P5" i="1"/>
  <c r="P4" i="1"/>
  <c r="A14" i="3" l="1"/>
  <c r="DB14" i="3" s="1"/>
  <c r="A13" i="3"/>
  <c r="DB13" i="3" s="1"/>
  <c r="A12" i="3"/>
  <c r="DB12" i="3" s="1"/>
  <c r="A11" i="3"/>
  <c r="DB11" i="3" s="1"/>
  <c r="A10" i="3"/>
  <c r="DB10" i="3" s="1"/>
  <c r="A9" i="3"/>
  <c r="DB9" i="3" s="1"/>
  <c r="A8" i="3"/>
  <c r="DB8" i="3" s="1"/>
  <c r="A7" i="3"/>
  <c r="DB7" i="3" s="1"/>
  <c r="A6" i="3"/>
  <c r="DB6" i="3" s="1"/>
  <c r="A5" i="3"/>
  <c r="DB5" i="3" s="1"/>
  <c r="A4" i="3"/>
  <c r="DB4" i="3" s="1"/>
  <c r="A3" i="3"/>
  <c r="G2" i="3"/>
  <c r="H2" i="3" s="1"/>
  <c r="F2" i="3"/>
  <c r="M135" i="1"/>
  <c r="L136" i="1" s="1"/>
  <c r="K137" i="1" s="1"/>
  <c r="J138" i="1" s="1"/>
  <c r="I139" i="1" s="1"/>
  <c r="H140" i="1" s="1"/>
  <c r="G141" i="1" s="1"/>
  <c r="F142" i="1" s="1"/>
  <c r="E143" i="1" s="1"/>
  <c r="E135" i="1"/>
  <c r="O134" i="1"/>
  <c r="N135" i="1" s="1"/>
  <c r="M136" i="1" s="1"/>
  <c r="L137" i="1" s="1"/>
  <c r="K138" i="1" s="1"/>
  <c r="J139" i="1" s="1"/>
  <c r="I140" i="1" s="1"/>
  <c r="H141" i="1" s="1"/>
  <c r="G142" i="1" s="1"/>
  <c r="F143" i="1" s="1"/>
  <c r="E144" i="1" s="1"/>
  <c r="N134" i="1"/>
  <c r="M134" i="1"/>
  <c r="L135" i="1" s="1"/>
  <c r="K136" i="1" s="1"/>
  <c r="J137" i="1" s="1"/>
  <c r="I138" i="1" s="1"/>
  <c r="H139" i="1" s="1"/>
  <c r="G140" i="1" s="1"/>
  <c r="F141" i="1" s="1"/>
  <c r="E142" i="1" s="1"/>
  <c r="L134" i="1"/>
  <c r="K135" i="1" s="1"/>
  <c r="J136" i="1" s="1"/>
  <c r="I137" i="1" s="1"/>
  <c r="H138" i="1" s="1"/>
  <c r="G139" i="1" s="1"/>
  <c r="F140" i="1" s="1"/>
  <c r="E141" i="1" s="1"/>
  <c r="K134" i="1"/>
  <c r="J135" i="1" s="1"/>
  <c r="I136" i="1" s="1"/>
  <c r="H137" i="1" s="1"/>
  <c r="G138" i="1" s="1"/>
  <c r="F139" i="1" s="1"/>
  <c r="E140" i="1" s="1"/>
  <c r="J134" i="1"/>
  <c r="I135" i="1" s="1"/>
  <c r="H136" i="1" s="1"/>
  <c r="G137" i="1" s="1"/>
  <c r="F138" i="1" s="1"/>
  <c r="E139" i="1" s="1"/>
  <c r="I134" i="1"/>
  <c r="H135" i="1" s="1"/>
  <c r="G136" i="1" s="1"/>
  <c r="F137" i="1" s="1"/>
  <c r="E138" i="1" s="1"/>
  <c r="H134" i="1"/>
  <c r="G135" i="1" s="1"/>
  <c r="F136" i="1" s="1"/>
  <c r="E137" i="1" s="1"/>
  <c r="G134" i="1"/>
  <c r="F135" i="1" s="1"/>
  <c r="E136" i="1" s="1"/>
  <c r="F134" i="1"/>
  <c r="E134" i="1"/>
  <c r="I2" i="3" l="1"/>
  <c r="DB3" i="3"/>
  <c r="DB15" i="3" s="1"/>
  <c r="D150" i="1" a="1"/>
  <c r="D150" i="1" s="1"/>
  <c r="AD25" i="2" a="1"/>
  <c r="AD25" i="2"/>
  <c r="AD24" i="2" a="1"/>
  <c r="AD24" i="2"/>
  <c r="AD23" i="2" a="1"/>
  <c r="AD23" i="2" s="1"/>
  <c r="AD22" i="2"/>
  <c r="AA181" i="2"/>
  <c r="AA180" i="2"/>
  <c r="AA179" i="2"/>
  <c r="AA178" i="2"/>
  <c r="AA177" i="2"/>
  <c r="AA176" i="2"/>
  <c r="AA175" i="2"/>
  <c r="AA174" i="2"/>
  <c r="AA173" i="2"/>
  <c r="AA172" i="2"/>
  <c r="AA171" i="2"/>
  <c r="AA170" i="2"/>
  <c r="AA169" i="2"/>
  <c r="AA168" i="2"/>
  <c r="AA167" i="2"/>
  <c r="AA166" i="2"/>
  <c r="AA165" i="2"/>
  <c r="AA164" i="2"/>
  <c r="AA163" i="2"/>
  <c r="AA162" i="2"/>
  <c r="AA161" i="2"/>
  <c r="AA160" i="2"/>
  <c r="AA159" i="2"/>
  <c r="AA158" i="2"/>
  <c r="U146" i="2"/>
  <c r="P147" i="2" s="1"/>
  <c r="T146" i="2"/>
  <c r="D174" i="2" a="1"/>
  <c r="G174" i="2" s="1"/>
  <c r="N134" i="2"/>
  <c r="M135" i="2" s="1"/>
  <c r="L136" i="2" s="1"/>
  <c r="K137" i="2" s="1"/>
  <c r="J138" i="2" s="1"/>
  <c r="I139" i="2" s="1"/>
  <c r="H140" i="2" s="1"/>
  <c r="G141" i="2" s="1"/>
  <c r="F142" i="2" s="1"/>
  <c r="E143" i="2" s="1"/>
  <c r="M134" i="2"/>
  <c r="L135" i="2" s="1"/>
  <c r="K136" i="2" s="1"/>
  <c r="J137" i="2" s="1"/>
  <c r="I138" i="2" s="1"/>
  <c r="H139" i="2" s="1"/>
  <c r="G140" i="2" s="1"/>
  <c r="F141" i="2" s="1"/>
  <c r="E142" i="2" s="1"/>
  <c r="L134" i="2"/>
  <c r="K135" i="2" s="1"/>
  <c r="J136" i="2" s="1"/>
  <c r="I137" i="2" s="1"/>
  <c r="H138" i="2" s="1"/>
  <c r="G139" i="2" s="1"/>
  <c r="F140" i="2" s="1"/>
  <c r="E141" i="2" s="1"/>
  <c r="K134" i="2"/>
  <c r="J135" i="2" s="1"/>
  <c r="I136" i="2" s="1"/>
  <c r="H137" i="2" s="1"/>
  <c r="G138" i="2" s="1"/>
  <c r="F139" i="2" s="1"/>
  <c r="E140" i="2" s="1"/>
  <c r="J134" i="2"/>
  <c r="I135" i="2" s="1"/>
  <c r="H136" i="2" s="1"/>
  <c r="G137" i="2" s="1"/>
  <c r="F138" i="2" s="1"/>
  <c r="E139" i="2" s="1"/>
  <c r="I134" i="2"/>
  <c r="H135" i="2" s="1"/>
  <c r="G136" i="2" s="1"/>
  <c r="F137" i="2" s="1"/>
  <c r="E138" i="2" s="1"/>
  <c r="H134" i="2"/>
  <c r="G135" i="2" s="1"/>
  <c r="F136" i="2" s="1"/>
  <c r="E137" i="2" s="1"/>
  <c r="G134" i="2"/>
  <c r="F135" i="2" s="1"/>
  <c r="E136" i="2" s="1"/>
  <c r="F134" i="2"/>
  <c r="E135" i="2" s="1"/>
  <c r="E134" i="2"/>
  <c r="O134" i="2"/>
  <c r="N135" i="2" s="1"/>
  <c r="M136" i="2" s="1"/>
  <c r="L137" i="2" s="1"/>
  <c r="K138" i="2" s="1"/>
  <c r="J139" i="2" s="1"/>
  <c r="I140" i="2" s="1"/>
  <c r="H141" i="2" s="1"/>
  <c r="G142" i="2" s="1"/>
  <c r="F143" i="2" s="1"/>
  <c r="E144" i="2" s="1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AD22" i="1"/>
  <c r="AD23" i="1" s="1" a="1"/>
  <c r="AD23" i="1" s="1"/>
  <c r="J2" i="3" l="1"/>
  <c r="T137" i="1" a="1"/>
  <c r="T137" i="1" s="1"/>
  <c r="K150" i="1"/>
  <c r="F150" i="1"/>
  <c r="O150" i="1"/>
  <c r="J150" i="1"/>
  <c r="E150" i="1"/>
  <c r="N150" i="1"/>
  <c r="I150" i="1"/>
  <c r="M150" i="1"/>
  <c r="G150" i="1"/>
  <c r="P150" i="1"/>
  <c r="L150" i="1"/>
  <c r="H150" i="1"/>
  <c r="O148" i="2"/>
  <c r="U147" i="2"/>
  <c r="P148" i="2" s="1"/>
  <c r="O149" i="2" s="1"/>
  <c r="N150" i="2" s="1"/>
  <c r="M151" i="2" s="1"/>
  <c r="L152" i="2" s="1"/>
  <c r="K153" i="2" s="1"/>
  <c r="J154" i="2" s="1"/>
  <c r="I155" i="2" s="1"/>
  <c r="H156" i="2" s="1"/>
  <c r="G157" i="2" s="1"/>
  <c r="F158" i="2" s="1"/>
  <c r="E159" i="2" s="1"/>
  <c r="T147" i="2"/>
  <c r="N174" i="2"/>
  <c r="J174" i="2"/>
  <c r="F174" i="2"/>
  <c r="M174" i="2"/>
  <c r="I174" i="2"/>
  <c r="E174" i="2"/>
  <c r="P174" i="2"/>
  <c r="L174" i="2"/>
  <c r="H174" i="2"/>
  <c r="D174" i="2"/>
  <c r="O174" i="2"/>
  <c r="K174" i="2"/>
  <c r="U35" i="1" l="1"/>
  <c r="Z47" i="1" s="1"/>
  <c r="U43" i="1"/>
  <c r="Z55" i="1" s="1"/>
  <c r="K2" i="3"/>
  <c r="U79" i="1"/>
  <c r="Z91" i="1" s="1"/>
  <c r="U67" i="1"/>
  <c r="Z79" i="1" s="1"/>
  <c r="U99" i="1"/>
  <c r="Z111" i="1" s="1"/>
  <c r="U46" i="1"/>
  <c r="Z58" i="1" s="1"/>
  <c r="U74" i="1"/>
  <c r="Z86" i="1" s="1"/>
  <c r="U66" i="1"/>
  <c r="Z78" i="1" s="1"/>
  <c r="U58" i="1"/>
  <c r="Z70" i="1" s="1"/>
  <c r="U50" i="1"/>
  <c r="Z62" i="1" s="1"/>
  <c r="U42" i="1"/>
  <c r="Z54" i="1" s="1"/>
  <c r="U34" i="1"/>
  <c r="Z46" i="1" s="1"/>
  <c r="U29" i="1"/>
  <c r="Z41" i="1" s="1"/>
  <c r="U27" i="1"/>
  <c r="Z39" i="1" s="1"/>
  <c r="U25" i="1"/>
  <c r="Z37" i="1" s="1"/>
  <c r="U23" i="1"/>
  <c r="Z35" i="1" s="1"/>
  <c r="U21" i="1"/>
  <c r="Z33" i="1" s="1"/>
  <c r="U19" i="1"/>
  <c r="Z31" i="1" s="1"/>
  <c r="U17" i="1"/>
  <c r="Z29" i="1" s="1"/>
  <c r="U15" i="1"/>
  <c r="Z27" i="1" s="1"/>
  <c r="U13" i="1"/>
  <c r="Z25" i="1" s="1"/>
  <c r="U11" i="1"/>
  <c r="Z23" i="1" s="1"/>
  <c r="U9" i="1"/>
  <c r="Z21" i="1" s="1"/>
  <c r="U3" i="1"/>
  <c r="Z15" i="1" s="1"/>
  <c r="U68" i="1"/>
  <c r="Z80" i="1" s="1"/>
  <c r="U60" i="1"/>
  <c r="Z72" i="1" s="1"/>
  <c r="U52" i="1"/>
  <c r="Z64" i="1" s="1"/>
  <c r="U44" i="1"/>
  <c r="Z56" i="1" s="1"/>
  <c r="U36" i="1"/>
  <c r="Z48" i="1" s="1"/>
  <c r="U120" i="1"/>
  <c r="Z132" i="1" s="1"/>
  <c r="U104" i="1"/>
  <c r="Z116" i="1" s="1"/>
  <c r="U88" i="1"/>
  <c r="Z100" i="1" s="1"/>
  <c r="U72" i="1"/>
  <c r="Z84" i="1" s="1"/>
  <c r="U48" i="1"/>
  <c r="Z60" i="1" s="1"/>
  <c r="U32" i="1"/>
  <c r="Z44" i="1" s="1"/>
  <c r="U112" i="1"/>
  <c r="Z124" i="1" s="1"/>
  <c r="U96" i="1"/>
  <c r="Z108" i="1" s="1"/>
  <c r="U80" i="1"/>
  <c r="Z92" i="1" s="1"/>
  <c r="U64" i="1"/>
  <c r="Z76" i="1" s="1"/>
  <c r="U56" i="1"/>
  <c r="Z68" i="1" s="1"/>
  <c r="U40" i="1"/>
  <c r="Z52" i="1" s="1"/>
  <c r="U7" i="1"/>
  <c r="Z19" i="1" s="1"/>
  <c r="U5" i="1"/>
  <c r="Z17" i="1" s="1"/>
  <c r="U33" i="1"/>
  <c r="Z45" i="1" s="1"/>
  <c r="U41" i="1"/>
  <c r="Z53" i="1" s="1"/>
  <c r="U49" i="1"/>
  <c r="Z61" i="1" s="1"/>
  <c r="U57" i="1"/>
  <c r="Z69" i="1" s="1"/>
  <c r="U65" i="1"/>
  <c r="Z77" i="1" s="1"/>
  <c r="U73" i="1"/>
  <c r="Z85" i="1" s="1"/>
  <c r="U81" i="1"/>
  <c r="Z93" i="1" s="1"/>
  <c r="U89" i="1"/>
  <c r="Z101" i="1" s="1"/>
  <c r="U97" i="1"/>
  <c r="Z109" i="1" s="1"/>
  <c r="U105" i="1"/>
  <c r="Z117" i="1" s="1"/>
  <c r="U113" i="1"/>
  <c r="Z125" i="1" s="1"/>
  <c r="U121" i="1"/>
  <c r="P134" i="1" s="1"/>
  <c r="U98" i="1"/>
  <c r="Z110" i="1" s="1"/>
  <c r="U108" i="1"/>
  <c r="Z120" i="1" s="1"/>
  <c r="U76" i="1"/>
  <c r="Z88" i="1" s="1"/>
  <c r="U86" i="1"/>
  <c r="Z98" i="1" s="1"/>
  <c r="U54" i="1"/>
  <c r="Z66" i="1" s="1"/>
  <c r="U28" i="1"/>
  <c r="Z40" i="1" s="1"/>
  <c r="U20" i="1"/>
  <c r="Z32" i="1" s="1"/>
  <c r="U12" i="1"/>
  <c r="Z24" i="1" s="1"/>
  <c r="U4" i="1"/>
  <c r="Z16" i="1" s="1"/>
  <c r="U59" i="1"/>
  <c r="Z71" i="1" s="1"/>
  <c r="U83" i="1"/>
  <c r="Z95" i="1" s="1"/>
  <c r="U115" i="1"/>
  <c r="Z127" i="1" s="1"/>
  <c r="U100" i="1"/>
  <c r="Z112" i="1" s="1"/>
  <c r="U110" i="1"/>
  <c r="Z122" i="1" s="1"/>
  <c r="U26" i="1"/>
  <c r="Z38" i="1" s="1"/>
  <c r="U18" i="1"/>
  <c r="Z30" i="1" s="1"/>
  <c r="U10" i="1"/>
  <c r="Z22" i="1" s="1"/>
  <c r="U2" i="1"/>
  <c r="U37" i="1"/>
  <c r="Z49" i="1" s="1"/>
  <c r="U45" i="1"/>
  <c r="Z57" i="1" s="1"/>
  <c r="U53" i="1"/>
  <c r="Z65" i="1" s="1"/>
  <c r="U61" i="1"/>
  <c r="Z73" i="1" s="1"/>
  <c r="U69" i="1"/>
  <c r="Z81" i="1" s="1"/>
  <c r="U77" i="1"/>
  <c r="Z89" i="1" s="1"/>
  <c r="U85" i="1"/>
  <c r="Z97" i="1" s="1"/>
  <c r="U93" i="1"/>
  <c r="Z105" i="1" s="1"/>
  <c r="U101" i="1"/>
  <c r="Z113" i="1" s="1"/>
  <c r="U109" i="1"/>
  <c r="Z121" i="1" s="1"/>
  <c r="U117" i="1"/>
  <c r="Z129" i="1" s="1"/>
  <c r="U114" i="1"/>
  <c r="Z126" i="1" s="1"/>
  <c r="U82" i="1"/>
  <c r="Z94" i="1" s="1"/>
  <c r="U92" i="1"/>
  <c r="Z104" i="1" s="1"/>
  <c r="U102" i="1"/>
  <c r="Z114" i="1" s="1"/>
  <c r="U70" i="1"/>
  <c r="Z82" i="1" s="1"/>
  <c r="U38" i="1"/>
  <c r="Z50" i="1" s="1"/>
  <c r="U24" i="1"/>
  <c r="Z36" i="1" s="1"/>
  <c r="U16" i="1"/>
  <c r="Z28" i="1" s="1"/>
  <c r="U8" i="1"/>
  <c r="Z20" i="1" s="1"/>
  <c r="U51" i="1"/>
  <c r="Z63" i="1" s="1"/>
  <c r="U75" i="1"/>
  <c r="Z87" i="1" s="1"/>
  <c r="U91" i="1"/>
  <c r="Z103" i="1" s="1"/>
  <c r="U107" i="1"/>
  <c r="Z119" i="1" s="1"/>
  <c r="U90" i="1"/>
  <c r="Z102" i="1" s="1"/>
  <c r="U78" i="1"/>
  <c r="Z90" i="1" s="1"/>
  <c r="U31" i="1"/>
  <c r="Z43" i="1" s="1"/>
  <c r="U39" i="1"/>
  <c r="Z51" i="1" s="1"/>
  <c r="U47" i="1"/>
  <c r="Z59" i="1" s="1"/>
  <c r="U55" i="1"/>
  <c r="Z67" i="1" s="1"/>
  <c r="U63" i="1"/>
  <c r="Z75" i="1" s="1"/>
  <c r="U71" i="1"/>
  <c r="Z83" i="1" s="1"/>
  <c r="U87" i="1"/>
  <c r="Z99" i="1" s="1"/>
  <c r="U95" i="1"/>
  <c r="Z107" i="1" s="1"/>
  <c r="U103" i="1"/>
  <c r="Z115" i="1" s="1"/>
  <c r="U111" i="1"/>
  <c r="Z123" i="1" s="1"/>
  <c r="U119" i="1"/>
  <c r="Z131" i="1" s="1"/>
  <c r="U106" i="1"/>
  <c r="Z118" i="1" s="1"/>
  <c r="U116" i="1"/>
  <c r="Z128" i="1" s="1"/>
  <c r="U84" i="1"/>
  <c r="Z96" i="1" s="1"/>
  <c r="U94" i="1"/>
  <c r="Z106" i="1" s="1"/>
  <c r="U62" i="1"/>
  <c r="Z74" i="1" s="1"/>
  <c r="U30" i="1"/>
  <c r="Z42" i="1" s="1"/>
  <c r="U22" i="1"/>
  <c r="Z34" i="1" s="1"/>
  <c r="U14" i="1"/>
  <c r="Z26" i="1" s="1"/>
  <c r="U6" i="1"/>
  <c r="Z18" i="1" s="1"/>
  <c r="U118" i="1"/>
  <c r="Z130" i="1" s="1"/>
  <c r="N149" i="2"/>
  <c r="U148" i="2"/>
  <c r="P149" i="2" s="1"/>
  <c r="O150" i="2" s="1"/>
  <c r="N151" i="2" s="1"/>
  <c r="M152" i="2" s="1"/>
  <c r="L153" i="2" s="1"/>
  <c r="K154" i="2" s="1"/>
  <c r="J155" i="2" s="1"/>
  <c r="I156" i="2" s="1"/>
  <c r="H157" i="2" s="1"/>
  <c r="G158" i="2" s="1"/>
  <c r="F159" i="2" s="1"/>
  <c r="E160" i="2" s="1"/>
  <c r="T148" i="2"/>
  <c r="U119" i="2"/>
  <c r="Z131" i="2" s="1"/>
  <c r="U115" i="2"/>
  <c r="Z127" i="2" s="1"/>
  <c r="U111" i="2"/>
  <c r="Z123" i="2" s="1"/>
  <c r="U107" i="2"/>
  <c r="Z119" i="2" s="1"/>
  <c r="U103" i="2"/>
  <c r="Z115" i="2" s="1"/>
  <c r="U99" i="2"/>
  <c r="Z111" i="2" s="1"/>
  <c r="U95" i="2"/>
  <c r="Z107" i="2" s="1"/>
  <c r="U91" i="2"/>
  <c r="Z103" i="2" s="1"/>
  <c r="U87" i="2"/>
  <c r="Z99" i="2" s="1"/>
  <c r="U83" i="2"/>
  <c r="Z95" i="2" s="1"/>
  <c r="U79" i="2"/>
  <c r="Z91" i="2" s="1"/>
  <c r="U75" i="2"/>
  <c r="Z87" i="2" s="1"/>
  <c r="U71" i="2"/>
  <c r="Z83" i="2" s="1"/>
  <c r="U67" i="2"/>
  <c r="Z79" i="2" s="1"/>
  <c r="U63" i="2"/>
  <c r="Z75" i="2" s="1"/>
  <c r="U59" i="2"/>
  <c r="Z71" i="2" s="1"/>
  <c r="U55" i="2"/>
  <c r="Z67" i="2" s="1"/>
  <c r="U51" i="2"/>
  <c r="Z63" i="2" s="1"/>
  <c r="U47" i="2"/>
  <c r="Z59" i="2" s="1"/>
  <c r="U120" i="2"/>
  <c r="Z132" i="2" s="1"/>
  <c r="U116" i="2"/>
  <c r="Z128" i="2" s="1"/>
  <c r="U112" i="2"/>
  <c r="Z124" i="2" s="1"/>
  <c r="U108" i="2"/>
  <c r="Z120" i="2" s="1"/>
  <c r="U104" i="2"/>
  <c r="Z116" i="2" s="1"/>
  <c r="U100" i="2"/>
  <c r="Z112" i="2" s="1"/>
  <c r="U122" i="2"/>
  <c r="Z134" i="2" s="1"/>
  <c r="U118" i="2"/>
  <c r="Z130" i="2" s="1"/>
  <c r="U114" i="2"/>
  <c r="Z126" i="2" s="1"/>
  <c r="U110" i="2"/>
  <c r="Z122" i="2" s="1"/>
  <c r="U106" i="2"/>
  <c r="Z118" i="2" s="1"/>
  <c r="U102" i="2"/>
  <c r="Z114" i="2" s="1"/>
  <c r="U98" i="2"/>
  <c r="Z110" i="2" s="1"/>
  <c r="U96" i="2"/>
  <c r="Z108" i="2" s="1"/>
  <c r="U93" i="2"/>
  <c r="Z105" i="2" s="1"/>
  <c r="U88" i="2"/>
  <c r="Z100" i="2" s="1"/>
  <c r="U85" i="2"/>
  <c r="Z97" i="2" s="1"/>
  <c r="U80" i="2"/>
  <c r="Z92" i="2" s="1"/>
  <c r="U77" i="2"/>
  <c r="Z89" i="2" s="1"/>
  <c r="U72" i="2"/>
  <c r="Z84" i="2" s="1"/>
  <c r="U69" i="2"/>
  <c r="Z81" i="2" s="1"/>
  <c r="U64" i="2"/>
  <c r="Z76" i="2" s="1"/>
  <c r="U61" i="2"/>
  <c r="Z73" i="2" s="1"/>
  <c r="U56" i="2"/>
  <c r="Z68" i="2" s="1"/>
  <c r="U53" i="2"/>
  <c r="Z65" i="2" s="1"/>
  <c r="U48" i="2"/>
  <c r="Z60" i="2" s="1"/>
  <c r="U45" i="2"/>
  <c r="Z57" i="2" s="1"/>
  <c r="U42" i="2"/>
  <c r="Z54" i="2" s="1"/>
  <c r="U38" i="2"/>
  <c r="Z50" i="2" s="1"/>
  <c r="U34" i="2"/>
  <c r="Z46" i="2" s="1"/>
  <c r="U30" i="2"/>
  <c r="Z42" i="2" s="1"/>
  <c r="U26" i="2"/>
  <c r="Z38" i="2" s="1"/>
  <c r="U24" i="2"/>
  <c r="Z36" i="2" s="1"/>
  <c r="U20" i="2"/>
  <c r="Z32" i="2" s="1"/>
  <c r="U16" i="2"/>
  <c r="Z28" i="2" s="1"/>
  <c r="U13" i="2"/>
  <c r="Z25" i="2" s="1"/>
  <c r="U11" i="2"/>
  <c r="Z23" i="2" s="1"/>
  <c r="U9" i="2"/>
  <c r="Z21" i="2" s="1"/>
  <c r="U7" i="2"/>
  <c r="Z19" i="2" s="1"/>
  <c r="U5" i="2"/>
  <c r="Z17" i="2" s="1"/>
  <c r="U3" i="2"/>
  <c r="Z15" i="2" s="1"/>
  <c r="U17" i="2"/>
  <c r="Z29" i="2" s="1"/>
  <c r="U14" i="2"/>
  <c r="Z26" i="2" s="1"/>
  <c r="U12" i="2"/>
  <c r="Z24" i="2" s="1"/>
  <c r="U6" i="2"/>
  <c r="Z18" i="2" s="1"/>
  <c r="U2" i="2"/>
  <c r="U74" i="2"/>
  <c r="Z86" i="2" s="1"/>
  <c r="U66" i="2"/>
  <c r="Z78" i="2" s="1"/>
  <c r="U41" i="2"/>
  <c r="Z53" i="2" s="1"/>
  <c r="U37" i="2"/>
  <c r="Z49" i="2" s="1"/>
  <c r="U94" i="2"/>
  <c r="Z106" i="2" s="1"/>
  <c r="U86" i="2"/>
  <c r="Z98" i="2" s="1"/>
  <c r="U78" i="2"/>
  <c r="Z90" i="2" s="1"/>
  <c r="U70" i="2"/>
  <c r="Z82" i="2" s="1"/>
  <c r="U62" i="2"/>
  <c r="Z74" i="2" s="1"/>
  <c r="U54" i="2"/>
  <c r="Z66" i="2" s="1"/>
  <c r="U46" i="2"/>
  <c r="Z58" i="2" s="1"/>
  <c r="U43" i="2"/>
  <c r="Z55" i="2" s="1"/>
  <c r="U39" i="2"/>
  <c r="Z51" i="2" s="1"/>
  <c r="U35" i="2"/>
  <c r="Z47" i="2" s="1"/>
  <c r="U31" i="2"/>
  <c r="Z43" i="2" s="1"/>
  <c r="U27" i="2"/>
  <c r="Z39" i="2" s="1"/>
  <c r="U21" i="2"/>
  <c r="Z33" i="2" s="1"/>
  <c r="U8" i="2"/>
  <c r="Z20" i="2" s="1"/>
  <c r="U58" i="2"/>
  <c r="Z70" i="2" s="1"/>
  <c r="U50" i="2"/>
  <c r="Z62" i="2" s="1"/>
  <c r="U29" i="2"/>
  <c r="Z41" i="2" s="1"/>
  <c r="U121" i="2"/>
  <c r="Z133" i="2" s="1"/>
  <c r="U117" i="2"/>
  <c r="Z129" i="2" s="1"/>
  <c r="U113" i="2"/>
  <c r="Z125" i="2" s="1"/>
  <c r="U109" i="2"/>
  <c r="Z121" i="2" s="1"/>
  <c r="U105" i="2"/>
  <c r="Z117" i="2" s="1"/>
  <c r="U101" i="2"/>
  <c r="Z113" i="2" s="1"/>
  <c r="U97" i="2"/>
  <c r="Z109" i="2" s="1"/>
  <c r="U92" i="2"/>
  <c r="Z104" i="2" s="1"/>
  <c r="U89" i="2"/>
  <c r="Z101" i="2" s="1"/>
  <c r="U84" i="2"/>
  <c r="Z96" i="2" s="1"/>
  <c r="U81" i="2"/>
  <c r="Z93" i="2" s="1"/>
  <c r="U76" i="2"/>
  <c r="Z88" i="2" s="1"/>
  <c r="U73" i="2"/>
  <c r="Z85" i="2" s="1"/>
  <c r="U68" i="2"/>
  <c r="Z80" i="2" s="1"/>
  <c r="U65" i="2"/>
  <c r="Z77" i="2" s="1"/>
  <c r="U60" i="2"/>
  <c r="Z72" i="2" s="1"/>
  <c r="U57" i="2"/>
  <c r="Z69" i="2" s="1"/>
  <c r="U52" i="2"/>
  <c r="Z64" i="2" s="1"/>
  <c r="U49" i="2"/>
  <c r="Z61" i="2" s="1"/>
  <c r="U44" i="2"/>
  <c r="Z56" i="2" s="1"/>
  <c r="U40" i="2"/>
  <c r="Z52" i="2" s="1"/>
  <c r="U36" i="2"/>
  <c r="Z48" i="2" s="1"/>
  <c r="U32" i="2"/>
  <c r="Z44" i="2" s="1"/>
  <c r="U28" i="2"/>
  <c r="Z40" i="2" s="1"/>
  <c r="U25" i="2"/>
  <c r="Z37" i="2" s="1"/>
  <c r="U23" i="2"/>
  <c r="Z35" i="2" s="1"/>
  <c r="U22" i="2"/>
  <c r="Z34" i="2" s="1"/>
  <c r="U18" i="2"/>
  <c r="Z30" i="2" s="1"/>
  <c r="U10" i="2"/>
  <c r="Z22" i="2" s="1"/>
  <c r="U4" i="2"/>
  <c r="Z16" i="2" s="1"/>
  <c r="U90" i="2"/>
  <c r="Z102" i="2" s="1"/>
  <c r="U82" i="2"/>
  <c r="Z94" i="2" s="1"/>
  <c r="U33" i="2"/>
  <c r="Z45" i="2" s="1"/>
  <c r="U15" i="2"/>
  <c r="Z27" i="2" s="1"/>
  <c r="U19" i="2"/>
  <c r="Z31" i="2" s="1"/>
  <c r="L2" i="3" l="1"/>
  <c r="U137" i="1" a="1"/>
  <c r="U137" i="1" s="1"/>
  <c r="Z133" i="1"/>
  <c r="Z14" i="1"/>
  <c r="M150" i="2"/>
  <c r="U149" i="2"/>
  <c r="P150" i="2" s="1"/>
  <c r="O151" i="2" s="1"/>
  <c r="N152" i="2" s="1"/>
  <c r="M153" i="2" s="1"/>
  <c r="L154" i="2" s="1"/>
  <c r="K155" i="2" s="1"/>
  <c r="J156" i="2" s="1"/>
  <c r="I157" i="2" s="1"/>
  <c r="H158" i="2" s="1"/>
  <c r="G159" i="2" s="1"/>
  <c r="F160" i="2" s="1"/>
  <c r="E161" i="2" s="1"/>
  <c r="T149" i="2"/>
  <c r="Z14" i="2"/>
  <c r="M2" i="3" l="1"/>
  <c r="T122" i="1"/>
  <c r="O135" i="1"/>
  <c r="N136" i="1" s="1"/>
  <c r="M137" i="1" s="1"/>
  <c r="L138" i="1" s="1"/>
  <c r="K139" i="1" s="1"/>
  <c r="J140" i="1" s="1"/>
  <c r="I141" i="1" s="1"/>
  <c r="H142" i="1" s="1"/>
  <c r="G143" i="1" s="1"/>
  <c r="F144" i="1" s="1"/>
  <c r="E145" i="1" s="1"/>
  <c r="U122" i="1"/>
  <c r="AD24" i="1" a="1"/>
  <c r="AD24" i="1" s="1"/>
  <c r="AE24" i="1" s="1"/>
  <c r="AD25" i="1" a="1"/>
  <c r="AD25" i="1" s="1"/>
  <c r="AE25" i="1" s="1"/>
  <c r="L151" i="2"/>
  <c r="U150" i="2"/>
  <c r="P151" i="2" s="1"/>
  <c r="O152" i="2" s="1"/>
  <c r="N153" i="2" s="1"/>
  <c r="M154" i="2" s="1"/>
  <c r="L155" i="2" s="1"/>
  <c r="K156" i="2" s="1"/>
  <c r="J157" i="2" s="1"/>
  <c r="I158" i="2" s="1"/>
  <c r="H159" i="2" s="1"/>
  <c r="G160" i="2" s="1"/>
  <c r="F161" i="2" s="1"/>
  <c r="E162" i="2" s="1"/>
  <c r="T150" i="2"/>
  <c r="T123" i="2"/>
  <c r="U123" i="2"/>
  <c r="AE25" i="2"/>
  <c r="AE24" i="2"/>
  <c r="N2" i="3" l="1"/>
  <c r="AE23" i="1"/>
  <c r="AA134" i="1"/>
  <c r="B3" i="3" s="1"/>
  <c r="C3" i="3" s="1"/>
  <c r="P135" i="1"/>
  <c r="K152" i="2"/>
  <c r="U151" i="2"/>
  <c r="P152" i="2" s="1"/>
  <c r="O153" i="2" s="1"/>
  <c r="N154" i="2" s="1"/>
  <c r="M155" i="2" s="1"/>
  <c r="L156" i="2" s="1"/>
  <c r="K157" i="2" s="1"/>
  <c r="J158" i="2" s="1"/>
  <c r="I159" i="2" s="1"/>
  <c r="T151" i="2"/>
  <c r="Z135" i="2"/>
  <c r="AE23" i="2"/>
  <c r="E3" i="3" l="1"/>
  <c r="G3" i="3"/>
  <c r="F3" i="3"/>
  <c r="I3" i="3"/>
  <c r="H3" i="3"/>
  <c r="J3" i="3"/>
  <c r="K3" i="3"/>
  <c r="L3" i="3"/>
  <c r="M3" i="3"/>
  <c r="O2" i="3"/>
  <c r="N3" i="3"/>
  <c r="Z134" i="1"/>
  <c r="O136" i="1"/>
  <c r="T123" i="1"/>
  <c r="U123" i="1"/>
  <c r="H160" i="2"/>
  <c r="J153" i="2"/>
  <c r="U152" i="2"/>
  <c r="P153" i="2" s="1"/>
  <c r="O154" i="2" s="1"/>
  <c r="N155" i="2" s="1"/>
  <c r="M156" i="2" s="1"/>
  <c r="L157" i="2" s="1"/>
  <c r="K158" i="2" s="1"/>
  <c r="J159" i="2" s="1"/>
  <c r="I160" i="2" s="1"/>
  <c r="H161" i="2" s="1"/>
  <c r="G162" i="2" s="1"/>
  <c r="F163" i="2" s="1"/>
  <c r="E164" i="2" s="1"/>
  <c r="T152" i="2"/>
  <c r="U124" i="2"/>
  <c r="T124" i="2"/>
  <c r="P2" i="3" l="1"/>
  <c r="O3" i="3"/>
  <c r="P136" i="1"/>
  <c r="U124" i="1" s="1"/>
  <c r="AA135" i="1"/>
  <c r="B4" i="3" s="1"/>
  <c r="C4" i="3" s="1"/>
  <c r="N137" i="1"/>
  <c r="I154" i="2"/>
  <c r="U153" i="2"/>
  <c r="P154" i="2" s="1"/>
  <c r="O155" i="2" s="1"/>
  <c r="N156" i="2" s="1"/>
  <c r="M157" i="2" s="1"/>
  <c r="L158" i="2" s="1"/>
  <c r="K159" i="2" s="1"/>
  <c r="T153" i="2"/>
  <c r="G161" i="2"/>
  <c r="Z136" i="2"/>
  <c r="E4" i="3" l="1"/>
  <c r="F4" i="3"/>
  <c r="H4" i="3"/>
  <c r="G4" i="3"/>
  <c r="I4" i="3"/>
  <c r="J4" i="3"/>
  <c r="K4" i="3"/>
  <c r="L4" i="3"/>
  <c r="M4" i="3"/>
  <c r="N4" i="3"/>
  <c r="O4" i="3"/>
  <c r="Q2" i="3"/>
  <c r="P3" i="3"/>
  <c r="P4" i="3"/>
  <c r="Z135" i="1"/>
  <c r="P137" i="1"/>
  <c r="O138" i="1" s="1"/>
  <c r="N139" i="1" s="1"/>
  <c r="M140" i="1" s="1"/>
  <c r="L141" i="1" s="1"/>
  <c r="K142" i="1" s="1"/>
  <c r="J143" i="1" s="1"/>
  <c r="I144" i="1" s="1"/>
  <c r="H145" i="1" s="1"/>
  <c r="AA136" i="1"/>
  <c r="B5" i="3" s="1"/>
  <c r="C5" i="3" s="1"/>
  <c r="M138" i="1"/>
  <c r="L139" i="1" s="1"/>
  <c r="K140" i="1" s="1"/>
  <c r="J141" i="1" s="1"/>
  <c r="I142" i="1" s="1"/>
  <c r="H143" i="1" s="1"/>
  <c r="G144" i="1" s="1"/>
  <c r="F145" i="1" s="1"/>
  <c r="O137" i="1"/>
  <c r="N138" i="1" s="1"/>
  <c r="M139" i="1" s="1"/>
  <c r="L140" i="1" s="1"/>
  <c r="K141" i="1" s="1"/>
  <c r="J142" i="1" s="1"/>
  <c r="I143" i="1" s="1"/>
  <c r="H144" i="1" s="1"/>
  <c r="G145" i="1" s="1"/>
  <c r="T124" i="1"/>
  <c r="F162" i="2"/>
  <c r="J160" i="2"/>
  <c r="H155" i="2"/>
  <c r="U154" i="2"/>
  <c r="P155" i="2" s="1"/>
  <c r="O156" i="2" s="1"/>
  <c r="N157" i="2" s="1"/>
  <c r="M158" i="2" s="1"/>
  <c r="L159" i="2" s="1"/>
  <c r="K160" i="2" s="1"/>
  <c r="J161" i="2" s="1"/>
  <c r="I162" i="2" s="1"/>
  <c r="H163" i="2" s="1"/>
  <c r="G164" i="2" s="1"/>
  <c r="F165" i="2" s="1"/>
  <c r="E166" i="2" s="1"/>
  <c r="T154" i="2"/>
  <c r="T125" i="2"/>
  <c r="U125" i="2"/>
  <c r="E5" i="3" l="1"/>
  <c r="I5" i="3"/>
  <c r="H5" i="3"/>
  <c r="G5" i="3"/>
  <c r="F5" i="3"/>
  <c r="J5" i="3"/>
  <c r="K5" i="3"/>
  <c r="L5" i="3"/>
  <c r="M5" i="3"/>
  <c r="N5" i="3"/>
  <c r="O5" i="3"/>
  <c r="P5" i="3"/>
  <c r="R2" i="3"/>
  <c r="Q4" i="3"/>
  <c r="Q3" i="3"/>
  <c r="Q5" i="3"/>
  <c r="U125" i="1"/>
  <c r="AA137" i="1" s="1"/>
  <c r="B6" i="3" s="1"/>
  <c r="C6" i="3" s="1"/>
  <c r="Z136" i="1"/>
  <c r="T125" i="1"/>
  <c r="I161" i="2"/>
  <c r="G156" i="2"/>
  <c r="U155" i="2"/>
  <c r="P156" i="2" s="1"/>
  <c r="O157" i="2" s="1"/>
  <c r="N158" i="2" s="1"/>
  <c r="M159" i="2" s="1"/>
  <c r="L160" i="2" s="1"/>
  <c r="K161" i="2" s="1"/>
  <c r="J162" i="2" s="1"/>
  <c r="I163" i="2" s="1"/>
  <c r="H164" i="2" s="1"/>
  <c r="G165" i="2" s="1"/>
  <c r="F166" i="2" s="1"/>
  <c r="E167" i="2" s="1"/>
  <c r="T155" i="2"/>
  <c r="E163" i="2"/>
  <c r="Z137" i="2"/>
  <c r="H6" i="3" l="1"/>
  <c r="E6" i="3"/>
  <c r="G6" i="3"/>
  <c r="F6" i="3"/>
  <c r="I6" i="3"/>
  <c r="J6" i="3"/>
  <c r="K6" i="3"/>
  <c r="L6" i="3"/>
  <c r="M6" i="3"/>
  <c r="N6" i="3"/>
  <c r="O6" i="3"/>
  <c r="P6" i="3"/>
  <c r="Q6" i="3"/>
  <c r="P138" i="1"/>
  <c r="T126" i="1" s="1"/>
  <c r="S2" i="3"/>
  <c r="R4" i="3"/>
  <c r="R6" i="3"/>
  <c r="R3" i="3"/>
  <c r="R5" i="3"/>
  <c r="Z137" i="1"/>
  <c r="H162" i="2"/>
  <c r="F157" i="2"/>
  <c r="U156" i="2"/>
  <c r="P157" i="2" s="1"/>
  <c r="O158" i="2" s="1"/>
  <c r="N159" i="2" s="1"/>
  <c r="M160" i="2" s="1"/>
  <c r="T156" i="2"/>
  <c r="T126" i="2"/>
  <c r="U126" i="2"/>
  <c r="Z138" i="2" s="1"/>
  <c r="U126" i="1" l="1"/>
  <c r="P139" i="1" s="1"/>
  <c r="O140" i="1" s="1"/>
  <c r="N141" i="1" s="1"/>
  <c r="M142" i="1" s="1"/>
  <c r="L143" i="1" s="1"/>
  <c r="K144" i="1" s="1"/>
  <c r="J145" i="1" s="1"/>
  <c r="O139" i="1"/>
  <c r="T2" i="3"/>
  <c r="S5" i="3"/>
  <c r="S3" i="3"/>
  <c r="S4" i="3"/>
  <c r="S6" i="3"/>
  <c r="N140" i="1"/>
  <c r="L161" i="2"/>
  <c r="G163" i="2"/>
  <c r="E158" i="2"/>
  <c r="U157" i="2"/>
  <c r="P158" i="2" s="1"/>
  <c r="O159" i="2" s="1"/>
  <c r="N160" i="2" s="1"/>
  <c r="M161" i="2" s="1"/>
  <c r="L162" i="2" s="1"/>
  <c r="K163" i="2" s="1"/>
  <c r="J164" i="2" s="1"/>
  <c r="I165" i="2" s="1"/>
  <c r="H166" i="2" s="1"/>
  <c r="G167" i="2" s="1"/>
  <c r="F168" i="2" s="1"/>
  <c r="E169" i="2" s="1"/>
  <c r="T157" i="2"/>
  <c r="AA138" i="1" l="1"/>
  <c r="B7" i="3" s="1"/>
  <c r="C7" i="3" s="1"/>
  <c r="S7" i="3" s="1"/>
  <c r="U127" i="1"/>
  <c r="G7" i="3"/>
  <c r="F7" i="3"/>
  <c r="E7" i="3"/>
  <c r="K7" i="3"/>
  <c r="M7" i="3"/>
  <c r="O7" i="3"/>
  <c r="Q7" i="3"/>
  <c r="U2" i="3"/>
  <c r="T3" i="3"/>
  <c r="T5" i="3"/>
  <c r="T6" i="3"/>
  <c r="T4" i="3"/>
  <c r="Z138" i="1"/>
  <c r="M141" i="1"/>
  <c r="L142" i="1" s="1"/>
  <c r="K143" i="1" s="1"/>
  <c r="J144" i="1" s="1"/>
  <c r="I145" i="1" s="1"/>
  <c r="T127" i="1"/>
  <c r="AA139" i="1"/>
  <c r="B8" i="3" s="1"/>
  <c r="C8" i="3" s="1"/>
  <c r="P140" i="1"/>
  <c r="O141" i="1" s="1"/>
  <c r="N142" i="1" s="1"/>
  <c r="M143" i="1" s="1"/>
  <c r="L144" i="1" s="1"/>
  <c r="K145" i="1" s="1"/>
  <c r="F164" i="2"/>
  <c r="U158" i="2"/>
  <c r="P159" i="2" s="1"/>
  <c r="T158" i="2"/>
  <c r="K162" i="2"/>
  <c r="T127" i="2"/>
  <c r="U127" i="2"/>
  <c r="Z139" i="2" s="1"/>
  <c r="R7" i="3" l="1"/>
  <c r="N7" i="3"/>
  <c r="J7" i="3"/>
  <c r="I7" i="3"/>
  <c r="T7" i="3"/>
  <c r="P7" i="3"/>
  <c r="L7" i="3"/>
  <c r="H7" i="3"/>
  <c r="H8" i="3"/>
  <c r="F8" i="3"/>
  <c r="G8" i="3"/>
  <c r="E8" i="3"/>
  <c r="I8" i="3"/>
  <c r="J8" i="3"/>
  <c r="K8" i="3"/>
  <c r="L8" i="3"/>
  <c r="M8" i="3"/>
  <c r="N8" i="3"/>
  <c r="O8" i="3"/>
  <c r="P8" i="3"/>
  <c r="Q8" i="3"/>
  <c r="R8" i="3"/>
  <c r="S8" i="3"/>
  <c r="T8" i="3"/>
  <c r="V2" i="3"/>
  <c r="U4" i="3"/>
  <c r="U7" i="3"/>
  <c r="U3" i="3"/>
  <c r="U5" i="3"/>
  <c r="U8" i="3"/>
  <c r="U6" i="3"/>
  <c r="Z139" i="1"/>
  <c r="T128" i="1"/>
  <c r="U128" i="1"/>
  <c r="J163" i="2"/>
  <c r="E165" i="2"/>
  <c r="O160" i="2"/>
  <c r="N161" i="2" s="1"/>
  <c r="U159" i="2"/>
  <c r="P160" i="2" s="1"/>
  <c r="T159" i="2"/>
  <c r="W2" i="3" l="1"/>
  <c r="V5" i="3"/>
  <c r="V4" i="3"/>
  <c r="V6" i="3"/>
  <c r="V7" i="3"/>
  <c r="V8" i="3"/>
  <c r="V3" i="3"/>
  <c r="P141" i="1"/>
  <c r="AA140" i="1"/>
  <c r="B9" i="3" s="1"/>
  <c r="C9" i="3" s="1"/>
  <c r="O161" i="2"/>
  <c r="N162" i="2" s="1"/>
  <c r="M163" i="2" s="1"/>
  <c r="L164" i="2" s="1"/>
  <c r="K165" i="2" s="1"/>
  <c r="J166" i="2" s="1"/>
  <c r="I167" i="2" s="1"/>
  <c r="H168" i="2" s="1"/>
  <c r="G169" i="2" s="1"/>
  <c r="T160" i="2"/>
  <c r="U160" i="2"/>
  <c r="P161" i="2" s="1"/>
  <c r="M162" i="2"/>
  <c r="T161" i="2"/>
  <c r="I164" i="2"/>
  <c r="T128" i="2"/>
  <c r="U128" i="2"/>
  <c r="Z140" i="2" s="1"/>
  <c r="I9" i="3" l="1"/>
  <c r="E9" i="3"/>
  <c r="H9" i="3"/>
  <c r="G9" i="3"/>
  <c r="F9" i="3"/>
  <c r="J9" i="3"/>
  <c r="K9" i="3"/>
  <c r="L9" i="3"/>
  <c r="M9" i="3"/>
  <c r="N9" i="3"/>
  <c r="O9" i="3"/>
  <c r="P9" i="3"/>
  <c r="Q9" i="3"/>
  <c r="R9" i="3"/>
  <c r="S9" i="3"/>
  <c r="T9" i="3"/>
  <c r="U9" i="3"/>
  <c r="V9" i="3"/>
  <c r="X2" i="3"/>
  <c r="W6" i="3"/>
  <c r="W7" i="3"/>
  <c r="W3" i="3"/>
  <c r="W8" i="3"/>
  <c r="W5" i="3"/>
  <c r="W4" i="3"/>
  <c r="W9" i="3"/>
  <c r="Z140" i="1"/>
  <c r="O142" i="1"/>
  <c r="T129" i="1"/>
  <c r="U129" i="1"/>
  <c r="H165" i="2"/>
  <c r="O162" i="2"/>
  <c r="N163" i="2" s="1"/>
  <c r="M164" i="2" s="1"/>
  <c r="L165" i="2" s="1"/>
  <c r="K166" i="2" s="1"/>
  <c r="J167" i="2" s="1"/>
  <c r="I168" i="2" s="1"/>
  <c r="H169" i="2" s="1"/>
  <c r="U161" i="2"/>
  <c r="P162" i="2" s="1"/>
  <c r="O163" i="2" s="1"/>
  <c r="N164" i="2" s="1"/>
  <c r="M165" i="2" s="1"/>
  <c r="L166" i="2" s="1"/>
  <c r="K167" i="2" s="1"/>
  <c r="J168" i="2" s="1"/>
  <c r="I169" i="2" s="1"/>
  <c r="L163" i="2"/>
  <c r="T162" i="2"/>
  <c r="T129" i="2"/>
  <c r="U129" i="2"/>
  <c r="Z141" i="2" s="1"/>
  <c r="Y2" i="3" l="1"/>
  <c r="X5" i="3"/>
  <c r="X4" i="3"/>
  <c r="X6" i="3"/>
  <c r="X3" i="3"/>
  <c r="X7" i="3"/>
  <c r="X8" i="3"/>
  <c r="X9" i="3"/>
  <c r="AA141" i="1"/>
  <c r="B10" i="3" s="1"/>
  <c r="C10" i="3" s="1"/>
  <c r="X10" i="3" s="1"/>
  <c r="P142" i="1"/>
  <c r="O143" i="1" s="1"/>
  <c r="N144" i="1" s="1"/>
  <c r="M145" i="1" s="1"/>
  <c r="N143" i="1"/>
  <c r="U162" i="2"/>
  <c r="P163" i="2" s="1"/>
  <c r="O164" i="2" s="1"/>
  <c r="N165" i="2" s="1"/>
  <c r="M166" i="2" s="1"/>
  <c r="L167" i="2" s="1"/>
  <c r="K168" i="2" s="1"/>
  <c r="J169" i="2" s="1"/>
  <c r="K164" i="2"/>
  <c r="T163" i="2"/>
  <c r="U163" i="2"/>
  <c r="P164" i="2" s="1"/>
  <c r="O165" i="2" s="1"/>
  <c r="N166" i="2" s="1"/>
  <c r="M167" i="2" s="1"/>
  <c r="L168" i="2" s="1"/>
  <c r="K169" i="2" s="1"/>
  <c r="G166" i="2"/>
  <c r="U130" i="2"/>
  <c r="Z142" i="2" s="1"/>
  <c r="T130" i="2"/>
  <c r="E10" i="3" l="1"/>
  <c r="F10" i="3"/>
  <c r="H10" i="3"/>
  <c r="G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Y10" i="3"/>
  <c r="Z2" i="3"/>
  <c r="Y6" i="3"/>
  <c r="Y8" i="3"/>
  <c r="Y7" i="3"/>
  <c r="Y3" i="3"/>
  <c r="Y4" i="3"/>
  <c r="Y5" i="3"/>
  <c r="Y9" i="3"/>
  <c r="Z141" i="1"/>
  <c r="U130" i="1"/>
  <c r="P143" i="1" s="1"/>
  <c r="O144" i="1" s="1"/>
  <c r="N145" i="1" s="1"/>
  <c r="M144" i="1"/>
  <c r="T130" i="1"/>
  <c r="J165" i="2"/>
  <c r="T164" i="2"/>
  <c r="U164" i="2"/>
  <c r="P165" i="2" s="1"/>
  <c r="O166" i="2" s="1"/>
  <c r="N167" i="2" s="1"/>
  <c r="M168" i="2" s="1"/>
  <c r="L169" i="2" s="1"/>
  <c r="F167" i="2"/>
  <c r="U131" i="2"/>
  <c r="Z143" i="2" s="1"/>
  <c r="T131" i="1" l="1"/>
  <c r="AA142" i="1"/>
  <c r="B11" i="3" s="1"/>
  <c r="C11" i="3" s="1"/>
  <c r="F11" i="3" s="1"/>
  <c r="U131" i="1"/>
  <c r="AA143" i="1" s="1"/>
  <c r="B12" i="3" s="1"/>
  <c r="C12" i="3" s="1"/>
  <c r="P11" i="3"/>
  <c r="T11" i="3"/>
  <c r="AA2" i="3"/>
  <c r="Z7" i="3"/>
  <c r="Z8" i="3"/>
  <c r="Z10" i="3"/>
  <c r="Z4" i="3"/>
  <c r="Z6" i="3"/>
  <c r="Z5" i="3"/>
  <c r="Z3" i="3"/>
  <c r="Z9" i="3"/>
  <c r="Z142" i="1"/>
  <c r="L145" i="1"/>
  <c r="E168" i="2"/>
  <c r="I166" i="2"/>
  <c r="T165" i="2"/>
  <c r="U165" i="2"/>
  <c r="P166" i="2" s="1"/>
  <c r="O167" i="2" s="1"/>
  <c r="N168" i="2" s="1"/>
  <c r="M169" i="2" s="1"/>
  <c r="T131" i="2"/>
  <c r="L11" i="3" l="1"/>
  <c r="X11" i="3"/>
  <c r="E11" i="3"/>
  <c r="W11" i="3"/>
  <c r="S11" i="3"/>
  <c r="O11" i="3"/>
  <c r="K11" i="3"/>
  <c r="G11" i="3"/>
  <c r="P144" i="1"/>
  <c r="O145" i="1" s="1"/>
  <c r="Y11" i="3"/>
  <c r="U11" i="3"/>
  <c r="Q11" i="3"/>
  <c r="M11" i="3"/>
  <c r="H11" i="3"/>
  <c r="I11" i="3"/>
  <c r="Z11" i="3"/>
  <c r="V11" i="3"/>
  <c r="R11" i="3"/>
  <c r="N11" i="3"/>
  <c r="J11" i="3"/>
  <c r="T132" i="1"/>
  <c r="E12" i="3"/>
  <c r="H12" i="3"/>
  <c r="F12" i="3"/>
  <c r="G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B2" i="3"/>
  <c r="AA3" i="3"/>
  <c r="AA4" i="3"/>
  <c r="AA6" i="3"/>
  <c r="AA8" i="3"/>
  <c r="AA5" i="3"/>
  <c r="AA7" i="3"/>
  <c r="AA10" i="3"/>
  <c r="AA11" i="3"/>
  <c r="AA12" i="3"/>
  <c r="AA9" i="3"/>
  <c r="Z143" i="1"/>
  <c r="H167" i="2"/>
  <c r="T166" i="2"/>
  <c r="U166" i="2"/>
  <c r="P167" i="2" s="1"/>
  <c r="O168" i="2" s="1"/>
  <c r="N169" i="2" s="1"/>
  <c r="T132" i="2"/>
  <c r="U132" i="2"/>
  <c r="Z144" i="2" s="1"/>
  <c r="U132" i="1" l="1"/>
  <c r="AA144" i="1" s="1"/>
  <c r="B13" i="3" s="1"/>
  <c r="C13" i="3" s="1"/>
  <c r="AC2" i="3"/>
  <c r="AB10" i="3"/>
  <c r="AB3" i="3"/>
  <c r="AB8" i="3"/>
  <c r="AB7" i="3"/>
  <c r="AB4" i="3"/>
  <c r="AB5" i="3"/>
  <c r="AB6" i="3"/>
  <c r="AB12" i="3"/>
  <c r="AB11" i="3"/>
  <c r="AB9" i="3"/>
  <c r="P145" i="1"/>
  <c r="G168" i="2"/>
  <c r="U167" i="2"/>
  <c r="P168" i="2" s="1"/>
  <c r="O169" i="2" s="1"/>
  <c r="T167" i="2"/>
  <c r="T133" i="2"/>
  <c r="U133" i="2"/>
  <c r="F13" i="3" l="1"/>
  <c r="H13" i="3"/>
  <c r="E13" i="3"/>
  <c r="G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0" i="3"/>
  <c r="AD2" i="3"/>
  <c r="AC3" i="3"/>
  <c r="AC8" i="3"/>
  <c r="AC5" i="3"/>
  <c r="AC4" i="3"/>
  <c r="AC7" i="3"/>
  <c r="AC6" i="3"/>
  <c r="AC12" i="3"/>
  <c r="AC11" i="3"/>
  <c r="AC13" i="3"/>
  <c r="AC9" i="3"/>
  <c r="Z144" i="1"/>
  <c r="T133" i="1"/>
  <c r="U133" i="1"/>
  <c r="AA145" i="1" s="1"/>
  <c r="B14" i="3" s="1"/>
  <c r="C14" i="3" s="1"/>
  <c r="AC14" i="3" s="1"/>
  <c r="F169" i="2"/>
  <c r="T168" i="2"/>
  <c r="U168" i="2"/>
  <c r="P169" i="2" s="1"/>
  <c r="Z145" i="2"/>
  <c r="U173" i="2" a="1"/>
  <c r="U173" i="2" s="1"/>
  <c r="T173" i="2" a="1"/>
  <c r="T173" i="2" s="1"/>
  <c r="P134" i="2"/>
  <c r="F14" i="3" l="1"/>
  <c r="F15" i="3" s="1"/>
  <c r="E14" i="3"/>
  <c r="E15" i="3" s="1"/>
  <c r="G14" i="3"/>
  <c r="G15" i="3" s="1"/>
  <c r="H14" i="3"/>
  <c r="H15" i="3" s="1"/>
  <c r="I14" i="3"/>
  <c r="I15" i="3" s="1"/>
  <c r="J14" i="3"/>
  <c r="J15" i="3" s="1"/>
  <c r="K14" i="3"/>
  <c r="K15" i="3" s="1"/>
  <c r="L14" i="3"/>
  <c r="L15" i="3" s="1"/>
  <c r="M14" i="3"/>
  <c r="M15" i="3" s="1"/>
  <c r="N14" i="3"/>
  <c r="N15" i="3" s="1"/>
  <c r="O14" i="3"/>
  <c r="O15" i="3" s="1"/>
  <c r="P14" i="3"/>
  <c r="P15" i="3" s="1"/>
  <c r="Q14" i="3"/>
  <c r="Q15" i="3" s="1"/>
  <c r="R14" i="3"/>
  <c r="R15" i="3" s="1"/>
  <c r="S14" i="3"/>
  <c r="S15" i="3" s="1"/>
  <c r="T14" i="3"/>
  <c r="T15" i="3" s="1"/>
  <c r="U14" i="3"/>
  <c r="U15" i="3" s="1"/>
  <c r="V14" i="3"/>
  <c r="V15" i="3" s="1"/>
  <c r="W14" i="3"/>
  <c r="W15" i="3" s="1"/>
  <c r="X14" i="3"/>
  <c r="X15" i="3" s="1"/>
  <c r="Y14" i="3"/>
  <c r="Y15" i="3" s="1"/>
  <c r="Z14" i="3"/>
  <c r="Z15" i="3" s="1"/>
  <c r="AA14" i="3"/>
  <c r="AA15" i="3" s="1"/>
  <c r="AB14" i="3"/>
  <c r="AB15" i="3" s="1"/>
  <c r="AC15" i="3"/>
  <c r="AE2" i="3"/>
  <c r="AD7" i="3"/>
  <c r="AD5" i="3"/>
  <c r="AD8" i="3"/>
  <c r="AD10" i="3"/>
  <c r="AD4" i="3"/>
  <c r="AD12" i="3"/>
  <c r="AD14" i="3"/>
  <c r="AD3" i="3"/>
  <c r="AD13" i="3"/>
  <c r="AD6" i="3"/>
  <c r="AD11" i="3"/>
  <c r="AD9" i="3"/>
  <c r="Z145" i="1"/>
  <c r="AC145" i="1" a="1"/>
  <c r="AC145" i="1" s="1"/>
  <c r="U169" i="2"/>
  <c r="T169" i="2"/>
  <c r="O135" i="2"/>
  <c r="T134" i="2"/>
  <c r="U134" i="2"/>
  <c r="AD15" i="3" l="1"/>
  <c r="AF2" i="3"/>
  <c r="AE8" i="3"/>
  <c r="AE10" i="3"/>
  <c r="AE7" i="3"/>
  <c r="AE11" i="3"/>
  <c r="AE3" i="3"/>
  <c r="AE6" i="3"/>
  <c r="AE4" i="3"/>
  <c r="AE5" i="3"/>
  <c r="AE13" i="3"/>
  <c r="AE14" i="3"/>
  <c r="AE12" i="3"/>
  <c r="AE9" i="3"/>
  <c r="P135" i="2"/>
  <c r="O136" i="2" s="1"/>
  <c r="N137" i="2" s="1"/>
  <c r="M138" i="2" s="1"/>
  <c r="L139" i="2" s="1"/>
  <c r="K140" i="2" s="1"/>
  <c r="J141" i="2" s="1"/>
  <c r="I142" i="2" s="1"/>
  <c r="H143" i="2" s="1"/>
  <c r="G144" i="2" s="1"/>
  <c r="F145" i="2" s="1"/>
  <c r="E146" i="2" s="1"/>
  <c r="AA146" i="2"/>
  <c r="N136" i="2"/>
  <c r="AE15" i="3" l="1"/>
  <c r="AF13" i="3"/>
  <c r="AG2" i="3"/>
  <c r="AF6" i="3"/>
  <c r="AF12" i="3"/>
  <c r="AF4" i="3"/>
  <c r="AF11" i="3"/>
  <c r="AF10" i="3"/>
  <c r="AF14" i="3"/>
  <c r="AF8" i="3"/>
  <c r="AF5" i="3"/>
  <c r="AF3" i="3"/>
  <c r="AF7" i="3"/>
  <c r="AF9" i="3"/>
  <c r="T135" i="2"/>
  <c r="U135" i="2"/>
  <c r="P136" i="2" s="1"/>
  <c r="M137" i="2"/>
  <c r="AF15" i="3" l="1"/>
  <c r="AH2" i="3"/>
  <c r="AG10" i="3"/>
  <c r="AG6" i="3"/>
  <c r="AG14" i="3"/>
  <c r="AG13" i="3"/>
  <c r="AG3" i="3"/>
  <c r="AG5" i="3"/>
  <c r="AG4" i="3"/>
  <c r="AG12" i="3"/>
  <c r="AG11" i="3"/>
  <c r="AG7" i="3"/>
  <c r="AG8" i="3"/>
  <c r="AG9" i="3"/>
  <c r="O137" i="2"/>
  <c r="N138" i="2" s="1"/>
  <c r="M139" i="2" s="1"/>
  <c r="L140" i="2" s="1"/>
  <c r="K141" i="2" s="1"/>
  <c r="J142" i="2" s="1"/>
  <c r="I143" i="2" s="1"/>
  <c r="H144" i="2" s="1"/>
  <c r="G145" i="2" s="1"/>
  <c r="F146" i="2" s="1"/>
  <c r="E147" i="2" s="1"/>
  <c r="T136" i="2"/>
  <c r="U136" i="2"/>
  <c r="AA148" i="2" s="1"/>
  <c r="AA147" i="2"/>
  <c r="L138" i="2"/>
  <c r="AG15" i="3" l="1"/>
  <c r="AH11" i="3"/>
  <c r="AI2" i="3"/>
  <c r="AH3" i="3"/>
  <c r="AH4" i="3"/>
  <c r="AH6" i="3"/>
  <c r="AH8" i="3"/>
  <c r="AH10" i="3"/>
  <c r="AH7" i="3"/>
  <c r="AH5" i="3"/>
  <c r="AH12" i="3"/>
  <c r="AH14" i="3"/>
  <c r="AH13" i="3"/>
  <c r="AH9" i="3"/>
  <c r="P137" i="2"/>
  <c r="O138" i="2" s="1"/>
  <c r="N139" i="2" s="1"/>
  <c r="M140" i="2" s="1"/>
  <c r="L141" i="2" s="1"/>
  <c r="K142" i="2" s="1"/>
  <c r="J143" i="2" s="1"/>
  <c r="I144" i="2" s="1"/>
  <c r="H145" i="2" s="1"/>
  <c r="G146" i="2" s="1"/>
  <c r="F147" i="2" s="1"/>
  <c r="E148" i="2" s="1"/>
  <c r="T137" i="2"/>
  <c r="U137" i="2"/>
  <c r="P138" i="2" s="1"/>
  <c r="K139" i="2"/>
  <c r="AH15" i="3" l="1"/>
  <c r="AJ2" i="3"/>
  <c r="AI5" i="3"/>
  <c r="AI3" i="3"/>
  <c r="AI4" i="3"/>
  <c r="AI8" i="3"/>
  <c r="AI6" i="3"/>
  <c r="AI10" i="3"/>
  <c r="AI7" i="3"/>
  <c r="AI12" i="3"/>
  <c r="AI11" i="3"/>
  <c r="AI14" i="3"/>
  <c r="AI13" i="3"/>
  <c r="AI9" i="3"/>
  <c r="O139" i="2"/>
  <c r="N140" i="2" s="1"/>
  <c r="M141" i="2" s="1"/>
  <c r="L142" i="2" s="1"/>
  <c r="K143" i="2" s="1"/>
  <c r="J144" i="2" s="1"/>
  <c r="I145" i="2" s="1"/>
  <c r="H146" i="2" s="1"/>
  <c r="G147" i="2" s="1"/>
  <c r="F148" i="2" s="1"/>
  <c r="E149" i="2" s="1"/>
  <c r="U138" i="2"/>
  <c r="P139" i="2" s="1"/>
  <c r="O140" i="2" s="1"/>
  <c r="N141" i="2" s="1"/>
  <c r="M142" i="2" s="1"/>
  <c r="L143" i="2" s="1"/>
  <c r="K144" i="2" s="1"/>
  <c r="J145" i="2" s="1"/>
  <c r="I146" i="2" s="1"/>
  <c r="H147" i="2" s="1"/>
  <c r="G148" i="2" s="1"/>
  <c r="F149" i="2" s="1"/>
  <c r="E150" i="2" s="1"/>
  <c r="T138" i="2"/>
  <c r="AA149" i="2"/>
  <c r="J140" i="2"/>
  <c r="AI15" i="3" l="1"/>
  <c r="AJ8" i="3"/>
  <c r="AK2" i="3"/>
  <c r="AJ3" i="3"/>
  <c r="AJ5" i="3"/>
  <c r="AJ7" i="3"/>
  <c r="AJ10" i="3"/>
  <c r="AJ6" i="3"/>
  <c r="AJ12" i="3"/>
  <c r="AJ13" i="3"/>
  <c r="AJ4" i="3"/>
  <c r="AJ11" i="3"/>
  <c r="AJ14" i="3"/>
  <c r="AJ9" i="3"/>
  <c r="AA150" i="2"/>
  <c r="T139" i="2"/>
  <c r="U139" i="2"/>
  <c r="P140" i="2" s="1"/>
  <c r="I141" i="2"/>
  <c r="AJ15" i="3" l="1"/>
  <c r="AK4" i="3"/>
  <c r="AK10" i="3"/>
  <c r="AL2" i="3"/>
  <c r="AK7" i="3"/>
  <c r="AK3" i="3"/>
  <c r="AK5" i="3"/>
  <c r="AK12" i="3"/>
  <c r="AK8" i="3"/>
  <c r="AK6" i="3"/>
  <c r="AK14" i="3"/>
  <c r="AK13" i="3"/>
  <c r="AK11" i="3"/>
  <c r="AK9" i="3"/>
  <c r="O141" i="2"/>
  <c r="N142" i="2" s="1"/>
  <c r="M143" i="2" s="1"/>
  <c r="L144" i="2" s="1"/>
  <c r="K145" i="2" s="1"/>
  <c r="J146" i="2" s="1"/>
  <c r="I147" i="2" s="1"/>
  <c r="H148" i="2" s="1"/>
  <c r="G149" i="2" s="1"/>
  <c r="F150" i="2" s="1"/>
  <c r="E151" i="2" s="1"/>
  <c r="U140" i="2"/>
  <c r="P141" i="2" s="1"/>
  <c r="O142" i="2" s="1"/>
  <c r="N143" i="2" s="1"/>
  <c r="M144" i="2" s="1"/>
  <c r="L145" i="2" s="1"/>
  <c r="K146" i="2" s="1"/>
  <c r="J147" i="2" s="1"/>
  <c r="I148" i="2" s="1"/>
  <c r="H149" i="2" s="1"/>
  <c r="G150" i="2" s="1"/>
  <c r="F151" i="2" s="1"/>
  <c r="E152" i="2" s="1"/>
  <c r="T140" i="2"/>
  <c r="AA151" i="2"/>
  <c r="H142" i="2"/>
  <c r="AK15" i="3" l="1"/>
  <c r="AM2" i="3"/>
  <c r="AL5" i="3"/>
  <c r="AL7" i="3"/>
  <c r="AL12" i="3"/>
  <c r="AL4" i="3"/>
  <c r="AL6" i="3"/>
  <c r="AL11" i="3"/>
  <c r="AL13" i="3"/>
  <c r="AL8" i="3"/>
  <c r="AL14" i="3"/>
  <c r="AL3" i="3"/>
  <c r="AL10" i="3"/>
  <c r="AL9" i="3"/>
  <c r="AA152" i="2"/>
  <c r="T141" i="2"/>
  <c r="U141" i="2"/>
  <c r="AA153" i="2" s="1"/>
  <c r="G143" i="2"/>
  <c r="AL15" i="3" l="1"/>
  <c r="AN2" i="3"/>
  <c r="AM6" i="3"/>
  <c r="AM8" i="3"/>
  <c r="AM7" i="3"/>
  <c r="AM10" i="3"/>
  <c r="AM12" i="3"/>
  <c r="AM13" i="3"/>
  <c r="AM5" i="3"/>
  <c r="AM11" i="3"/>
  <c r="AM3" i="3"/>
  <c r="AM4" i="3"/>
  <c r="AM14" i="3"/>
  <c r="AM9" i="3"/>
  <c r="P142" i="2"/>
  <c r="O143" i="2" s="1"/>
  <c r="N144" i="2" s="1"/>
  <c r="M145" i="2" s="1"/>
  <c r="L146" i="2" s="1"/>
  <c r="K147" i="2" s="1"/>
  <c r="J148" i="2" s="1"/>
  <c r="I149" i="2" s="1"/>
  <c r="H150" i="2" s="1"/>
  <c r="G151" i="2" s="1"/>
  <c r="F152" i="2" s="1"/>
  <c r="E153" i="2" s="1"/>
  <c r="U142" i="2"/>
  <c r="AA154" i="2" s="1"/>
  <c r="T142" i="2"/>
  <c r="F144" i="2"/>
  <c r="AM15" i="3" l="1"/>
  <c r="AN13" i="3"/>
  <c r="AO2" i="3"/>
  <c r="AN8" i="3"/>
  <c r="AN4" i="3"/>
  <c r="AN10" i="3"/>
  <c r="AN6" i="3"/>
  <c r="AN12" i="3"/>
  <c r="AN11" i="3"/>
  <c r="AN14" i="3"/>
  <c r="AN3" i="3"/>
  <c r="AN7" i="3"/>
  <c r="AN5" i="3"/>
  <c r="AN9" i="3"/>
  <c r="P143" i="2"/>
  <c r="O144" i="2" s="1"/>
  <c r="N145" i="2" s="1"/>
  <c r="M146" i="2" s="1"/>
  <c r="L147" i="2" s="1"/>
  <c r="K148" i="2" s="1"/>
  <c r="J149" i="2" s="1"/>
  <c r="I150" i="2" s="1"/>
  <c r="H151" i="2" s="1"/>
  <c r="G152" i="2" s="1"/>
  <c r="F153" i="2" s="1"/>
  <c r="E154" i="2" s="1"/>
  <c r="T143" i="2"/>
  <c r="E145" i="2"/>
  <c r="AN15" i="3" l="1"/>
  <c r="AP2" i="3"/>
  <c r="AO6" i="3"/>
  <c r="AO4" i="3"/>
  <c r="AO8" i="3"/>
  <c r="AO11" i="3"/>
  <c r="AO7" i="3"/>
  <c r="AO5" i="3"/>
  <c r="AO10" i="3"/>
  <c r="AO12" i="3"/>
  <c r="AO13" i="3"/>
  <c r="AO3" i="3"/>
  <c r="AO14" i="3"/>
  <c r="AO9" i="3"/>
  <c r="U143" i="2"/>
  <c r="P144" i="2" s="1"/>
  <c r="O145" i="2" s="1"/>
  <c r="N146" i="2" s="1"/>
  <c r="M147" i="2" s="1"/>
  <c r="L148" i="2" s="1"/>
  <c r="K149" i="2" s="1"/>
  <c r="J150" i="2" s="1"/>
  <c r="I151" i="2" s="1"/>
  <c r="H152" i="2" s="1"/>
  <c r="G153" i="2" s="1"/>
  <c r="F154" i="2" s="1"/>
  <c r="E155" i="2" s="1"/>
  <c r="AO15" i="3" l="1"/>
  <c r="AP10" i="3"/>
  <c r="AP7" i="3"/>
  <c r="AQ2" i="3"/>
  <c r="AP3" i="3"/>
  <c r="AP8" i="3"/>
  <c r="AP4" i="3"/>
  <c r="AP6" i="3"/>
  <c r="AP14" i="3"/>
  <c r="AP13" i="3"/>
  <c r="AP5" i="3"/>
  <c r="AP12" i="3"/>
  <c r="AP11" i="3"/>
  <c r="AP9" i="3"/>
  <c r="AA155" i="2"/>
  <c r="T144" i="2"/>
  <c r="U144" i="2"/>
  <c r="P145" i="2" s="1"/>
  <c r="AQ14" i="3" l="1"/>
  <c r="AR2" i="3"/>
  <c r="AQ3" i="3"/>
  <c r="AQ8" i="3"/>
  <c r="AQ4" i="3"/>
  <c r="AQ10" i="3"/>
  <c r="AQ5" i="3"/>
  <c r="AQ12" i="3"/>
  <c r="AQ6" i="3"/>
  <c r="AQ7" i="3"/>
  <c r="AQ11" i="3"/>
  <c r="AQ13" i="3"/>
  <c r="AQ9" i="3"/>
  <c r="AP15" i="3"/>
  <c r="U145" i="2"/>
  <c r="O146" i="2"/>
  <c r="N147" i="2" s="1"/>
  <c r="M148" i="2" s="1"/>
  <c r="L149" i="2" s="1"/>
  <c r="K150" i="2" s="1"/>
  <c r="J151" i="2" s="1"/>
  <c r="I152" i="2" s="1"/>
  <c r="H153" i="2" s="1"/>
  <c r="G154" i="2" s="1"/>
  <c r="F155" i="2" s="1"/>
  <c r="E156" i="2" s="1"/>
  <c r="AA157" i="2"/>
  <c r="P146" i="2"/>
  <c r="O147" i="2" s="1"/>
  <c r="N148" i="2" s="1"/>
  <c r="M149" i="2" s="1"/>
  <c r="L150" i="2" s="1"/>
  <c r="K151" i="2" s="1"/>
  <c r="J152" i="2" s="1"/>
  <c r="I153" i="2" s="1"/>
  <c r="H154" i="2" s="1"/>
  <c r="G155" i="2" s="1"/>
  <c r="F156" i="2" s="1"/>
  <c r="E157" i="2" s="1"/>
  <c r="T145" i="2"/>
  <c r="AA156" i="2"/>
  <c r="AQ15" i="3" l="1"/>
  <c r="AR13" i="3"/>
  <c r="AS2" i="3"/>
  <c r="AR3" i="3"/>
  <c r="AR5" i="3"/>
  <c r="AR7" i="3"/>
  <c r="AR8" i="3"/>
  <c r="AR4" i="3"/>
  <c r="AR10" i="3"/>
  <c r="AR11" i="3"/>
  <c r="AR14" i="3"/>
  <c r="AR6" i="3"/>
  <c r="AR12" i="3"/>
  <c r="AR9" i="3"/>
  <c r="AR15" i="3" l="1"/>
  <c r="AT2" i="3"/>
  <c r="AS3" i="3"/>
  <c r="AS5" i="3"/>
  <c r="AS7" i="3"/>
  <c r="AS6" i="3"/>
  <c r="AS8" i="3"/>
  <c r="AS12" i="3"/>
  <c r="AS11" i="3"/>
  <c r="AS14" i="3"/>
  <c r="AS13" i="3"/>
  <c r="AS10" i="3"/>
  <c r="AS4" i="3"/>
  <c r="AS9" i="3"/>
  <c r="AS15" i="3" l="1"/>
  <c r="AU2" i="3"/>
  <c r="AT3" i="3"/>
  <c r="AT10" i="3"/>
  <c r="AT5" i="3"/>
  <c r="AT8" i="3"/>
  <c r="AT12" i="3"/>
  <c r="AT6" i="3"/>
  <c r="AT11" i="3"/>
  <c r="AT4" i="3"/>
  <c r="AT13" i="3"/>
  <c r="AT7" i="3"/>
  <c r="AT14" i="3"/>
  <c r="AT9" i="3"/>
  <c r="AT15" i="3" l="1"/>
  <c r="AU10" i="3"/>
  <c r="AV2" i="3"/>
  <c r="AU6" i="3"/>
  <c r="AU8" i="3"/>
  <c r="AU7" i="3"/>
  <c r="AU11" i="3"/>
  <c r="AU3" i="3"/>
  <c r="AU4" i="3"/>
  <c r="AU12" i="3"/>
  <c r="AU14" i="3"/>
  <c r="AU5" i="3"/>
  <c r="AU13" i="3"/>
  <c r="AU9" i="3"/>
  <c r="AU15" i="3" l="1"/>
  <c r="AV13" i="3"/>
  <c r="AW2" i="3"/>
  <c r="AV11" i="3"/>
  <c r="AV6" i="3"/>
  <c r="AV12" i="3"/>
  <c r="AV8" i="3"/>
  <c r="AV4" i="3"/>
  <c r="AV5" i="3"/>
  <c r="AV10" i="3"/>
  <c r="AV14" i="3"/>
  <c r="AV3" i="3"/>
  <c r="AV7" i="3"/>
  <c r="AV9" i="3"/>
  <c r="AV15" i="3" l="1"/>
  <c r="AX2" i="3"/>
  <c r="AW8" i="3"/>
  <c r="AW4" i="3"/>
  <c r="AW6" i="3"/>
  <c r="AW14" i="3"/>
  <c r="AW13" i="3"/>
  <c r="AW3" i="3"/>
  <c r="AW5" i="3"/>
  <c r="AW10" i="3"/>
  <c r="AW7" i="3"/>
  <c r="AW12" i="3"/>
  <c r="AW11" i="3"/>
  <c r="AW9" i="3"/>
  <c r="AW15" i="3" l="1"/>
  <c r="AY2" i="3"/>
  <c r="AX4" i="3"/>
  <c r="AX6" i="3"/>
  <c r="AX10" i="3"/>
  <c r="AX8" i="3"/>
  <c r="AX7" i="3"/>
  <c r="AX11" i="3"/>
  <c r="AX3" i="3"/>
  <c r="AX12" i="3"/>
  <c r="AX14" i="3"/>
  <c r="AX5" i="3"/>
  <c r="AX13" i="3"/>
  <c r="AX9" i="3"/>
  <c r="AZ2" i="3" l="1"/>
  <c r="AY12" i="3"/>
  <c r="AY8" i="3"/>
  <c r="AY5" i="3"/>
  <c r="AY6" i="3"/>
  <c r="AY3" i="3"/>
  <c r="AY4" i="3"/>
  <c r="AY10" i="3"/>
  <c r="AY14" i="3"/>
  <c r="AY13" i="3"/>
  <c r="AY7" i="3"/>
  <c r="AY11" i="3"/>
  <c r="AY9" i="3"/>
  <c r="AX15" i="3"/>
  <c r="AY15" i="3" l="1"/>
  <c r="BA2" i="3"/>
  <c r="AZ3" i="3"/>
  <c r="AZ7" i="3"/>
  <c r="AZ11" i="3"/>
  <c r="AZ13" i="3"/>
  <c r="AZ6" i="3"/>
  <c r="AZ12" i="3"/>
  <c r="AZ14" i="3"/>
  <c r="AZ5" i="3"/>
  <c r="AZ4" i="3"/>
  <c r="AZ10" i="3"/>
  <c r="AZ8" i="3"/>
  <c r="AZ9" i="3"/>
  <c r="AZ15" i="3" l="1"/>
  <c r="BB2" i="3"/>
  <c r="BA4" i="3"/>
  <c r="BA7" i="3"/>
  <c r="BA3" i="3"/>
  <c r="BA5" i="3"/>
  <c r="BA12" i="3"/>
  <c r="BA8" i="3"/>
  <c r="BA10" i="3"/>
  <c r="BA11" i="3"/>
  <c r="BA14" i="3"/>
  <c r="BA13" i="3"/>
  <c r="BA6" i="3"/>
  <c r="BA9" i="3"/>
  <c r="BC2" i="3" l="1"/>
  <c r="BB5" i="3"/>
  <c r="BB3" i="3"/>
  <c r="BB10" i="3"/>
  <c r="BB12" i="3"/>
  <c r="BB4" i="3"/>
  <c r="BB6" i="3"/>
  <c r="BB7" i="3"/>
  <c r="BB8" i="3"/>
  <c r="BB13" i="3"/>
  <c r="BB14" i="3"/>
  <c r="BB11" i="3"/>
  <c r="BB9" i="3"/>
  <c r="BA15" i="3"/>
  <c r="BC6" i="3" l="1"/>
  <c r="BD2" i="3"/>
  <c r="BC7" i="3"/>
  <c r="BC13" i="3"/>
  <c r="BC8" i="3"/>
  <c r="BC5" i="3"/>
  <c r="BC10" i="3"/>
  <c r="BC3" i="3"/>
  <c r="BC4" i="3"/>
  <c r="BC11" i="3"/>
  <c r="BC12" i="3"/>
  <c r="BC14" i="3"/>
  <c r="BC9" i="3"/>
  <c r="BB15" i="3"/>
  <c r="BD13" i="3" l="1"/>
  <c r="BE2" i="3"/>
  <c r="BD8" i="3"/>
  <c r="BD4" i="3"/>
  <c r="BD10" i="3"/>
  <c r="BD5" i="3"/>
  <c r="BD6" i="3"/>
  <c r="BD12" i="3"/>
  <c r="BD14" i="3"/>
  <c r="BD3" i="3"/>
  <c r="BD7" i="3"/>
  <c r="BD11" i="3"/>
  <c r="BD9" i="3"/>
  <c r="BC15" i="3"/>
  <c r="BD15" i="3" l="1"/>
  <c r="BF2" i="3"/>
  <c r="BE6" i="3"/>
  <c r="BE8" i="3"/>
  <c r="BE10" i="3"/>
  <c r="BE11" i="3"/>
  <c r="BE4" i="3"/>
  <c r="BE7" i="3"/>
  <c r="BE3" i="3"/>
  <c r="BE12" i="3"/>
  <c r="BE14" i="3"/>
  <c r="BE13" i="3"/>
  <c r="BE5" i="3"/>
  <c r="BE9" i="3"/>
  <c r="BG2" i="3" l="1"/>
  <c r="BF10" i="3"/>
  <c r="BF7" i="3"/>
  <c r="BF8" i="3"/>
  <c r="BF4" i="3"/>
  <c r="BF6" i="3"/>
  <c r="BF14" i="3"/>
  <c r="BF13" i="3"/>
  <c r="BF3" i="3"/>
  <c r="BF5" i="3"/>
  <c r="BF11" i="3"/>
  <c r="BF12" i="3"/>
  <c r="BF9" i="3"/>
  <c r="BE15" i="3"/>
  <c r="BF15" i="3" l="1"/>
  <c r="BG14" i="3"/>
  <c r="BH2" i="3"/>
  <c r="BG3" i="3"/>
  <c r="BG6" i="3"/>
  <c r="BG4" i="3"/>
  <c r="BG5" i="3"/>
  <c r="BG8" i="3"/>
  <c r="BG7" i="3"/>
  <c r="BG12" i="3"/>
  <c r="BG10" i="3"/>
  <c r="BG13" i="3"/>
  <c r="BG11" i="3"/>
  <c r="BG9" i="3"/>
  <c r="BH13" i="3" l="1"/>
  <c r="BI2" i="3"/>
  <c r="BH3" i="3"/>
  <c r="BH7" i="3"/>
  <c r="BH8" i="3"/>
  <c r="BH5" i="3"/>
  <c r="BH4" i="3"/>
  <c r="BH10" i="3"/>
  <c r="BH6" i="3"/>
  <c r="BH12" i="3"/>
  <c r="BH11" i="3"/>
  <c r="BH14" i="3"/>
  <c r="BH9" i="3"/>
  <c r="BG15" i="3"/>
  <c r="BJ2" i="3" l="1"/>
  <c r="BI3" i="3"/>
  <c r="BI5" i="3"/>
  <c r="BI4" i="3"/>
  <c r="BI7" i="3"/>
  <c r="BI10" i="3"/>
  <c r="BI6" i="3"/>
  <c r="BI14" i="3"/>
  <c r="BI8" i="3"/>
  <c r="BI12" i="3"/>
  <c r="BI11" i="3"/>
  <c r="BI13" i="3"/>
  <c r="BI9" i="3"/>
  <c r="BH15" i="3"/>
  <c r="BI15" i="3" l="1"/>
  <c r="BK2" i="3"/>
  <c r="BJ7" i="3"/>
  <c r="BJ5" i="3"/>
  <c r="BJ3" i="3"/>
  <c r="BJ8" i="3"/>
  <c r="BJ13" i="3"/>
  <c r="BJ6" i="3"/>
  <c r="BJ4" i="3"/>
  <c r="BJ12" i="3"/>
  <c r="BJ14" i="3"/>
  <c r="BJ10" i="3"/>
  <c r="BJ11" i="3"/>
  <c r="BJ9" i="3"/>
  <c r="BK10" i="3" l="1"/>
  <c r="BL2" i="3"/>
  <c r="BK7" i="3"/>
  <c r="BK11" i="3"/>
  <c r="BK3" i="3"/>
  <c r="BK4" i="3"/>
  <c r="BK13" i="3"/>
  <c r="BK8" i="3"/>
  <c r="BK5" i="3"/>
  <c r="BK6" i="3"/>
  <c r="BK12" i="3"/>
  <c r="BK14" i="3"/>
  <c r="BK9" i="3"/>
  <c r="BJ15" i="3"/>
  <c r="BL13" i="3" l="1"/>
  <c r="BL11" i="3"/>
  <c r="BM2" i="3"/>
  <c r="BL6" i="3"/>
  <c r="BL12" i="3"/>
  <c r="BL8" i="3"/>
  <c r="BL4" i="3"/>
  <c r="BL10" i="3"/>
  <c r="BL5" i="3"/>
  <c r="BL7" i="3"/>
  <c r="BL14" i="3"/>
  <c r="BL3" i="3"/>
  <c r="BL9" i="3"/>
  <c r="BK15" i="3"/>
  <c r="BL15" i="3" l="1"/>
  <c r="BN2" i="3"/>
  <c r="BM8" i="3"/>
  <c r="BM10" i="3"/>
  <c r="BM6" i="3"/>
  <c r="BM14" i="3"/>
  <c r="BM13" i="3"/>
  <c r="BM3" i="3"/>
  <c r="BM5" i="3"/>
  <c r="BM12" i="3"/>
  <c r="BM11" i="3"/>
  <c r="BM7" i="3"/>
  <c r="BM4" i="3"/>
  <c r="BM9" i="3"/>
  <c r="BM15" i="3" l="1"/>
  <c r="BO2" i="3"/>
  <c r="BN4" i="3"/>
  <c r="BN6" i="3"/>
  <c r="BN3" i="3"/>
  <c r="BN8" i="3"/>
  <c r="BN11" i="3"/>
  <c r="BN7" i="3"/>
  <c r="BN10" i="3"/>
  <c r="BN5" i="3"/>
  <c r="BN14" i="3"/>
  <c r="BN13" i="3"/>
  <c r="BN12" i="3"/>
  <c r="BN9" i="3"/>
  <c r="BP2" i="3" l="1"/>
  <c r="BO8" i="3"/>
  <c r="BO5" i="3"/>
  <c r="BO10" i="3"/>
  <c r="BO3" i="3"/>
  <c r="BO4" i="3"/>
  <c r="BO11" i="3"/>
  <c r="BO7" i="3"/>
  <c r="BO6" i="3"/>
  <c r="BO13" i="3"/>
  <c r="BO12" i="3"/>
  <c r="BO14" i="3"/>
  <c r="BO9" i="3"/>
  <c r="BN15" i="3"/>
  <c r="BO15" i="3" l="1"/>
  <c r="BQ2" i="3"/>
  <c r="BP3" i="3"/>
  <c r="BP7" i="3"/>
  <c r="BP6" i="3"/>
  <c r="BP12" i="3"/>
  <c r="BP5" i="3"/>
  <c r="BP8" i="3"/>
  <c r="BP11" i="3"/>
  <c r="BP10" i="3"/>
  <c r="BP14" i="3"/>
  <c r="BP4" i="3"/>
  <c r="BP13" i="3"/>
  <c r="BP9" i="3"/>
  <c r="BP15" i="3" l="1"/>
  <c r="BR2" i="3"/>
  <c r="BQ4" i="3"/>
  <c r="BQ7" i="3"/>
  <c r="BQ3" i="3"/>
  <c r="BQ5" i="3"/>
  <c r="BQ12" i="3"/>
  <c r="BQ8" i="3"/>
  <c r="BQ10" i="3"/>
  <c r="BQ6" i="3"/>
  <c r="BQ14" i="3"/>
  <c r="BQ13" i="3"/>
  <c r="BQ11" i="3"/>
  <c r="BQ9" i="3"/>
  <c r="BS2" i="3" l="1"/>
  <c r="BR5" i="3"/>
  <c r="BR7" i="3"/>
  <c r="BR3" i="3"/>
  <c r="BR12" i="3"/>
  <c r="BR4" i="3"/>
  <c r="BR6" i="3"/>
  <c r="BR10" i="3"/>
  <c r="BR8" i="3"/>
  <c r="BR14" i="3"/>
  <c r="BR11" i="3"/>
  <c r="BR13" i="3"/>
  <c r="BR9" i="3"/>
  <c r="BQ15" i="3"/>
  <c r="BT2" i="3" l="1"/>
  <c r="BS6" i="3"/>
  <c r="BS7" i="3"/>
  <c r="BS10" i="3"/>
  <c r="BS8" i="3"/>
  <c r="BS13" i="3"/>
  <c r="BS14" i="3"/>
  <c r="BS5" i="3"/>
  <c r="BS3" i="3"/>
  <c r="BS4" i="3"/>
  <c r="BS12" i="3"/>
  <c r="BS11" i="3"/>
  <c r="BS9" i="3"/>
  <c r="BR15" i="3"/>
  <c r="BS15" i="3" l="1"/>
  <c r="BU2" i="3"/>
  <c r="BT13" i="3"/>
  <c r="BT8" i="3"/>
  <c r="BT4" i="3"/>
  <c r="BT10" i="3"/>
  <c r="BT6" i="3"/>
  <c r="BT12" i="3"/>
  <c r="BT14" i="3"/>
  <c r="BT3" i="3"/>
  <c r="BT5" i="3"/>
  <c r="BT7" i="3"/>
  <c r="BT11" i="3"/>
  <c r="BT9" i="3"/>
  <c r="BV2" i="3" l="1"/>
  <c r="BU4" i="3"/>
  <c r="BU6" i="3"/>
  <c r="BU8" i="3"/>
  <c r="BU11" i="3"/>
  <c r="BU7" i="3"/>
  <c r="BU10" i="3"/>
  <c r="BU5" i="3"/>
  <c r="BU12" i="3"/>
  <c r="BU14" i="3"/>
  <c r="BU13" i="3"/>
  <c r="BU3" i="3"/>
  <c r="BU9" i="3"/>
  <c r="BT15" i="3"/>
  <c r="BV7" i="3" l="1"/>
  <c r="BW2" i="3"/>
  <c r="BV8" i="3"/>
  <c r="BV3" i="3"/>
  <c r="BV4" i="3"/>
  <c r="BV6" i="3"/>
  <c r="BV10" i="3"/>
  <c r="BV14" i="3"/>
  <c r="BV13" i="3"/>
  <c r="BV5" i="3"/>
  <c r="BV12" i="3"/>
  <c r="BV11" i="3"/>
  <c r="BV9" i="3"/>
  <c r="BU15" i="3"/>
  <c r="BW14" i="3" l="1"/>
  <c r="BX2" i="3"/>
  <c r="BW3" i="3"/>
  <c r="BW4" i="3"/>
  <c r="BW8" i="3"/>
  <c r="BW5" i="3"/>
  <c r="BW10" i="3"/>
  <c r="BW7" i="3"/>
  <c r="BW6" i="3"/>
  <c r="BW11" i="3"/>
  <c r="BW13" i="3"/>
  <c r="BW12" i="3"/>
  <c r="BW9" i="3"/>
  <c r="BV15" i="3"/>
  <c r="BX13" i="3" l="1"/>
  <c r="BY2" i="3"/>
  <c r="BX5" i="3"/>
  <c r="BX3" i="3"/>
  <c r="BX7" i="3"/>
  <c r="BX8" i="3"/>
  <c r="BX4" i="3"/>
  <c r="BX10" i="3"/>
  <c r="BX11" i="3"/>
  <c r="BX14" i="3"/>
  <c r="BX6" i="3"/>
  <c r="BX12" i="3"/>
  <c r="BX9" i="3"/>
  <c r="BW15" i="3"/>
  <c r="BZ2" i="3" l="1"/>
  <c r="BY3" i="3"/>
  <c r="BY5" i="3"/>
  <c r="BY7" i="3"/>
  <c r="BY4" i="3"/>
  <c r="BY6" i="3"/>
  <c r="BY10" i="3"/>
  <c r="BY8" i="3"/>
  <c r="BY12" i="3"/>
  <c r="BY11" i="3"/>
  <c r="BY14" i="3"/>
  <c r="BY13" i="3"/>
  <c r="BY9" i="3"/>
  <c r="BX15" i="3"/>
  <c r="BY15" i="3" l="1"/>
  <c r="CA2" i="3"/>
  <c r="BZ12" i="3"/>
  <c r="BZ3" i="3"/>
  <c r="BZ5" i="3"/>
  <c r="BZ10" i="3"/>
  <c r="BZ7" i="3"/>
  <c r="BZ8" i="3"/>
  <c r="BZ6" i="3"/>
  <c r="BZ11" i="3"/>
  <c r="BZ13" i="3"/>
  <c r="BZ14" i="3"/>
  <c r="BZ4" i="3"/>
  <c r="BZ9" i="3"/>
  <c r="CA10" i="3" l="1"/>
  <c r="CB2" i="3"/>
  <c r="CA8" i="3"/>
  <c r="CA6" i="3"/>
  <c r="CA12" i="3"/>
  <c r="CA11" i="3"/>
  <c r="CA14" i="3"/>
  <c r="CA3" i="3"/>
  <c r="CA4" i="3"/>
  <c r="CA7" i="3"/>
  <c r="CA5" i="3"/>
  <c r="CA13" i="3"/>
  <c r="CA9" i="3"/>
  <c r="BZ15" i="3"/>
  <c r="CB13" i="3" l="1"/>
  <c r="CB11" i="3"/>
  <c r="CC2" i="3"/>
  <c r="CB5" i="3"/>
  <c r="CB6" i="3"/>
  <c r="CB12" i="3"/>
  <c r="CB8" i="3"/>
  <c r="CB7" i="3"/>
  <c r="CB4" i="3"/>
  <c r="CB10" i="3"/>
  <c r="CB3" i="3"/>
  <c r="CB14" i="3"/>
  <c r="CB9" i="3"/>
  <c r="CA15" i="3"/>
  <c r="CB15" i="3" l="1"/>
  <c r="CD2" i="3"/>
  <c r="CC8" i="3"/>
  <c r="CC4" i="3"/>
  <c r="CC6" i="3"/>
  <c r="CC14" i="3"/>
  <c r="CC13" i="3"/>
  <c r="CC3" i="3"/>
  <c r="CC5" i="3"/>
  <c r="CC7" i="3"/>
  <c r="CC10" i="3"/>
  <c r="CC12" i="3"/>
  <c r="CC11" i="3"/>
  <c r="CC9" i="3"/>
  <c r="CE2" i="3" l="1"/>
  <c r="CD4" i="3"/>
  <c r="CD6" i="3"/>
  <c r="CD8" i="3"/>
  <c r="CD10" i="3"/>
  <c r="CD11" i="3"/>
  <c r="CD12" i="3"/>
  <c r="CD3" i="3"/>
  <c r="CD5" i="3"/>
  <c r="CD7" i="3"/>
  <c r="CD13" i="3"/>
  <c r="CD14" i="3"/>
  <c r="CD9" i="3"/>
  <c r="CC15" i="3"/>
  <c r="CF2" i="3" l="1"/>
  <c r="CE8" i="3"/>
  <c r="CE5" i="3"/>
  <c r="CE7" i="3"/>
  <c r="CE3" i="3"/>
  <c r="CE4" i="3"/>
  <c r="CE6" i="3"/>
  <c r="CE14" i="3"/>
  <c r="CE12" i="3"/>
  <c r="CE13" i="3"/>
  <c r="CE11" i="3"/>
  <c r="CE10" i="3"/>
  <c r="CE9" i="3"/>
  <c r="CD15" i="3"/>
  <c r="CE15" i="3" l="1"/>
  <c r="CG2" i="3"/>
  <c r="CF3" i="3"/>
  <c r="CF7" i="3"/>
  <c r="CF5" i="3"/>
  <c r="CF6" i="3"/>
  <c r="CF4" i="3"/>
  <c r="CF11" i="3"/>
  <c r="CF12" i="3"/>
  <c r="CF14" i="3"/>
  <c r="CF13" i="3"/>
  <c r="CF8" i="3"/>
  <c r="CF10" i="3"/>
  <c r="CF9" i="3"/>
  <c r="CG10" i="3" l="1"/>
  <c r="CH2" i="3"/>
  <c r="CG4" i="3"/>
  <c r="CG3" i="3"/>
  <c r="CG5" i="3"/>
  <c r="CG8" i="3"/>
  <c r="CG12" i="3"/>
  <c r="CG11" i="3"/>
  <c r="CG7" i="3"/>
  <c r="CG13" i="3"/>
  <c r="CG14" i="3"/>
  <c r="CG6" i="3"/>
  <c r="CG9" i="3"/>
  <c r="CF15" i="3"/>
  <c r="CI2" i="3" l="1"/>
  <c r="CH5" i="3"/>
  <c r="CH7" i="3"/>
  <c r="CH10" i="3"/>
  <c r="CH12" i="3"/>
  <c r="CH4" i="3"/>
  <c r="CH6" i="3"/>
  <c r="CH14" i="3"/>
  <c r="CH3" i="3"/>
  <c r="CH8" i="3"/>
  <c r="CH11" i="3"/>
  <c r="CH13" i="3"/>
  <c r="CH9" i="3"/>
  <c r="CG15" i="3"/>
  <c r="CH15" i="3" l="1"/>
  <c r="CJ2" i="3"/>
  <c r="CI6" i="3"/>
  <c r="CI12" i="3"/>
  <c r="CI13" i="3"/>
  <c r="CI5" i="3"/>
  <c r="CI7" i="3"/>
  <c r="CI11" i="3"/>
  <c r="CI14" i="3"/>
  <c r="CI3" i="3"/>
  <c r="CI4" i="3"/>
  <c r="CI10" i="3"/>
  <c r="CI8" i="3"/>
  <c r="CI9" i="3"/>
  <c r="CI15" i="3" l="1"/>
  <c r="CJ13" i="3"/>
  <c r="CK2" i="3"/>
  <c r="CJ5" i="3"/>
  <c r="CJ8" i="3"/>
  <c r="CJ7" i="3"/>
  <c r="CJ4" i="3"/>
  <c r="CJ10" i="3"/>
  <c r="CJ6" i="3"/>
  <c r="CJ12" i="3"/>
  <c r="CJ14" i="3"/>
  <c r="CJ3" i="3"/>
  <c r="CJ11" i="3"/>
  <c r="CJ9" i="3"/>
  <c r="CL2" i="3" l="1"/>
  <c r="CK6" i="3"/>
  <c r="CK10" i="3"/>
  <c r="CK8" i="3"/>
  <c r="CK11" i="3"/>
  <c r="CK3" i="3"/>
  <c r="CK4" i="3"/>
  <c r="CK14" i="3"/>
  <c r="CK13" i="3"/>
  <c r="CK5" i="3"/>
  <c r="CK7" i="3"/>
  <c r="CK12" i="3"/>
  <c r="CK9" i="3"/>
  <c r="CJ15" i="3"/>
  <c r="CK15" i="3" l="1"/>
  <c r="CM2" i="3"/>
  <c r="CL8" i="3"/>
  <c r="CL7" i="3"/>
  <c r="CL10" i="3"/>
  <c r="CL4" i="3"/>
  <c r="CL6" i="3"/>
  <c r="CL14" i="3"/>
  <c r="CL13" i="3"/>
  <c r="CL5" i="3"/>
  <c r="CL3" i="3"/>
  <c r="CL11" i="3"/>
  <c r="CL12" i="3"/>
  <c r="CL9" i="3"/>
  <c r="CM14" i="3" l="1"/>
  <c r="CN2" i="3"/>
  <c r="CM3" i="3"/>
  <c r="CM4" i="3"/>
  <c r="CM6" i="3"/>
  <c r="CM5" i="3"/>
  <c r="CM7" i="3"/>
  <c r="CM12" i="3"/>
  <c r="CM10" i="3"/>
  <c r="CM8" i="3"/>
  <c r="CM11" i="3"/>
  <c r="CM13" i="3"/>
  <c r="CM9" i="3"/>
  <c r="CL15" i="3"/>
  <c r="CO2" i="3" l="1"/>
  <c r="CN11" i="3"/>
  <c r="CN3" i="3"/>
  <c r="CN8" i="3"/>
  <c r="CN7" i="3"/>
  <c r="CN4" i="3"/>
  <c r="CN10" i="3"/>
  <c r="CN6" i="3"/>
  <c r="CN12" i="3"/>
  <c r="CN13" i="3"/>
  <c r="CN5" i="3"/>
  <c r="CN14" i="3"/>
  <c r="CN9" i="3"/>
  <c r="CM15" i="3"/>
  <c r="CP2" i="3" l="1"/>
  <c r="CO3" i="3"/>
  <c r="CO5" i="3"/>
  <c r="CO10" i="3"/>
  <c r="CO4" i="3"/>
  <c r="CO7" i="3"/>
  <c r="CO6" i="3"/>
  <c r="CO12" i="3"/>
  <c r="CO11" i="3"/>
  <c r="CO14" i="3"/>
  <c r="CO13" i="3"/>
  <c r="CO8" i="3"/>
  <c r="CO9" i="3"/>
  <c r="CN15" i="3"/>
  <c r="CO15" i="3" l="1"/>
  <c r="CQ2" i="3"/>
  <c r="CP7" i="3"/>
  <c r="CP12" i="3"/>
  <c r="CP5" i="3"/>
  <c r="CP8" i="3"/>
  <c r="CP10" i="3"/>
  <c r="CP4" i="3"/>
  <c r="CP14" i="3"/>
  <c r="CP13" i="3"/>
  <c r="CP6" i="3"/>
  <c r="CP3" i="3"/>
  <c r="CP11" i="3"/>
  <c r="CP9" i="3"/>
  <c r="CR2" i="3" l="1"/>
  <c r="CQ6" i="3"/>
  <c r="CQ11" i="3"/>
  <c r="CQ3" i="3"/>
  <c r="CQ8" i="3"/>
  <c r="CQ4" i="3"/>
  <c r="CQ10" i="3"/>
  <c r="CQ5" i="3"/>
  <c r="CQ12" i="3"/>
  <c r="CQ13" i="3"/>
  <c r="CQ14" i="3"/>
  <c r="CQ7" i="3"/>
  <c r="CQ9" i="3"/>
  <c r="CP15" i="3"/>
  <c r="CR13" i="3" l="1"/>
  <c r="CR11" i="3"/>
  <c r="CS2" i="3"/>
  <c r="CR6" i="3"/>
  <c r="CR8" i="3"/>
  <c r="CR4" i="3"/>
  <c r="CR10" i="3"/>
  <c r="CR7" i="3"/>
  <c r="CR12" i="3"/>
  <c r="CR14" i="3"/>
  <c r="CR3" i="3"/>
  <c r="CR5" i="3"/>
  <c r="CR9" i="3"/>
  <c r="CQ15" i="3"/>
  <c r="CR15" i="3" l="1"/>
  <c r="CT2" i="3"/>
  <c r="CS8" i="3"/>
  <c r="CS7" i="3"/>
  <c r="CS6" i="3"/>
  <c r="CS10" i="3"/>
  <c r="CS14" i="3"/>
  <c r="CS13" i="3"/>
  <c r="CS3" i="3"/>
  <c r="CS5" i="3"/>
  <c r="CS4" i="3"/>
  <c r="CS11" i="3"/>
  <c r="CS12" i="3"/>
  <c r="CS9" i="3"/>
  <c r="CS15" i="3" l="1"/>
  <c r="CU2" i="3"/>
  <c r="CT3" i="3"/>
  <c r="CT4" i="3"/>
  <c r="CT6" i="3"/>
  <c r="CT8" i="3"/>
  <c r="CT7" i="3"/>
  <c r="CT11" i="3"/>
  <c r="CT10" i="3"/>
  <c r="CT12" i="3"/>
  <c r="CT5" i="3"/>
  <c r="CT14" i="3"/>
  <c r="CT13" i="3"/>
  <c r="CT9" i="3"/>
  <c r="CT15" i="3" l="1"/>
  <c r="CU8" i="3"/>
  <c r="CV2" i="3"/>
  <c r="CU5" i="3"/>
  <c r="CU7" i="3"/>
  <c r="CU12" i="3"/>
  <c r="CU3" i="3"/>
  <c r="CU4" i="3"/>
  <c r="CU10" i="3"/>
  <c r="CU6" i="3"/>
  <c r="CU14" i="3"/>
  <c r="CU11" i="3"/>
  <c r="CU13" i="3"/>
  <c r="CU9" i="3"/>
  <c r="CU15" i="3" l="1"/>
  <c r="CW2" i="3"/>
  <c r="CV3" i="3"/>
  <c r="CV7" i="3"/>
  <c r="CV5" i="3"/>
  <c r="CV6" i="3"/>
  <c r="CV10" i="3"/>
  <c r="CV8" i="3"/>
  <c r="CV12" i="3"/>
  <c r="CV11" i="3"/>
  <c r="CV4" i="3"/>
  <c r="CV14" i="3"/>
  <c r="CV13" i="3"/>
  <c r="CV9" i="3"/>
  <c r="CX2" i="3" l="1"/>
  <c r="CW10" i="3"/>
  <c r="CW4" i="3"/>
  <c r="CW12" i="3"/>
  <c r="CW3" i="3"/>
  <c r="CW5" i="3"/>
  <c r="CW7" i="3"/>
  <c r="CW8" i="3"/>
  <c r="CW6" i="3"/>
  <c r="CW14" i="3"/>
  <c r="CW13" i="3"/>
  <c r="CW11" i="3"/>
  <c r="CW9" i="3"/>
  <c r="CV15" i="3"/>
  <c r="CW15" i="3" l="1"/>
  <c r="CY2" i="3"/>
  <c r="CX5" i="3"/>
  <c r="CX12" i="3"/>
  <c r="CX4" i="3"/>
  <c r="CX6" i="3"/>
  <c r="CX10" i="3"/>
  <c r="CX11" i="3"/>
  <c r="CX13" i="3"/>
  <c r="CX8" i="3"/>
  <c r="CX14" i="3"/>
  <c r="CX3" i="3"/>
  <c r="CX7" i="3"/>
  <c r="CX9" i="3"/>
  <c r="CY6" i="3" l="1"/>
  <c r="CZ2" i="3"/>
  <c r="CY8" i="3"/>
  <c r="CY13" i="3"/>
  <c r="CY5" i="3"/>
  <c r="CY7" i="3"/>
  <c r="CY10" i="3"/>
  <c r="CY3" i="3"/>
  <c r="CY4" i="3"/>
  <c r="CY12" i="3"/>
  <c r="CY11" i="3"/>
  <c r="CY14" i="3"/>
  <c r="CY9" i="3"/>
  <c r="CX15" i="3"/>
  <c r="CZ13" i="3" l="1"/>
  <c r="DA2" i="3"/>
  <c r="CZ5" i="3"/>
  <c r="CZ8" i="3"/>
  <c r="CZ4" i="3"/>
  <c r="CZ10" i="3"/>
  <c r="CZ6" i="3"/>
  <c r="CZ11" i="3"/>
  <c r="CZ14" i="3"/>
  <c r="CZ3" i="3"/>
  <c r="CZ12" i="3"/>
  <c r="CZ7" i="3"/>
  <c r="CZ9" i="3"/>
  <c r="CY15" i="3"/>
  <c r="CZ15" i="3" l="1"/>
  <c r="DB2" i="3"/>
  <c r="DA6" i="3"/>
  <c r="DA4" i="3"/>
  <c r="DA8" i="3"/>
  <c r="DA12" i="3"/>
  <c r="DA10" i="3"/>
  <c r="DA11" i="3"/>
  <c r="DA5" i="3"/>
  <c r="DA13" i="3"/>
  <c r="DA3" i="3"/>
  <c r="DA7" i="3"/>
  <c r="DA14" i="3"/>
  <c r="DA9" i="3"/>
  <c r="DA15" i="3" l="1"/>
</calcChain>
</file>

<file path=xl/sharedStrings.xml><?xml version="1.0" encoding="utf-8"?>
<sst xmlns="http://schemas.openxmlformats.org/spreadsheetml/2006/main" count="102" uniqueCount="45">
  <si>
    <t>FECHA</t>
  </si>
  <si>
    <t>PASAJEROS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</si>
  <si>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</si>
  <si>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</si>
  <si>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</si>
  <si>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</si>
  <si>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</si>
  <si>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</si>
  <si>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</si>
  <si>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</si>
  <si>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</si>
  <si>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</si>
  <si>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</si>
  <si>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</si>
  <si>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</si>
  <si>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y</t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</si>
  <si>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</si>
  <si>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</si>
  <si>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</si>
  <si>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</si>
  <si>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</si>
  <si>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</si>
  <si>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</si>
  <si>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</si>
  <si>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</si>
  <si>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</si>
  <si>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</si>
  <si>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</si>
  <si>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</si>
  <si>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Costo</t>
  </si>
  <si>
    <t>y_hat_solver</t>
  </si>
  <si>
    <t>y_hat_reales</t>
  </si>
  <si>
    <t>Solver</t>
  </si>
  <si>
    <t>Algebraico</t>
  </si>
  <si>
    <t>Real</t>
  </si>
  <si>
    <t>Modelo</t>
  </si>
  <si>
    <t>Media</t>
  </si>
  <si>
    <t>SCT</t>
  </si>
  <si>
    <t>SCR</t>
  </si>
  <si>
    <t>SCE</t>
  </si>
  <si>
    <t>Var.Exp</t>
  </si>
  <si>
    <t>Pronostico</t>
  </si>
  <si>
    <t>Costo Pronostico</t>
  </si>
  <si>
    <t>Desv</t>
  </si>
  <si>
    <t>Precisiones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</si>
</sst>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1">
    <xf numFmtId="0" fontId="0" fillId="0" borderId="0" xfId="0"/>
    <xf numFmtId="0" fontId="1" fillId="2" borderId="1" xfId="0" applyFont="1" applyFill="1" applyBorder="1"/>
    <xf numFmtId="14" fontId="0" fillId="0" borderId="1" xfId="0" applyNumberFormat="1" applyBorder="1"/>
    <xf numFmtId="0" fontId="0" fillId="0" borderId="1" xfId="0" applyBorder="1"/>
    <xf numFmtId="14" fontId="0" fillId="3" borderId="1" xfId="0" applyNumberFormat="1" applyFill="1" applyBorder="1"/>
    <xf numFmtId="0" fontId="0" fillId="3" borderId="1" xfId="0" applyFill="1" applyBorder="1"/>
    <xf numFmtId="0" fontId="2" fillId="0" borderId="0" xfId="0" applyFont="1"/>
    <xf numFmtId="0" fontId="1" fillId="2" borderId="0" xfId="0" applyFont="1" applyFill="1" applyBorder="1"/>
    <xf numFmtId="0" fontId="0" fillId="4" borderId="1" xfId="0" applyFill="1" applyBorder="1"/>
    <xf numFmtId="0" fontId="0" fillId="0" borderId="1" xfId="0" applyFill="1" applyBorder="1"/>
    <xf numFmtId="0" fontId="0" fillId="0" borderId="0" xfId="0" applyFill="1"/>
    <xf numFmtId="14" fontId="0" fillId="0" borderId="1" xfId="0" applyNumberFormat="1" applyFill="1" applyBorder="1"/>
    <xf numFmtId="0" fontId="0" fillId="5" borderId="1" xfId="0" applyFill="1" applyBorder="1"/>
    <xf numFmtId="0" fontId="4" fillId="3" borderId="1" xfId="0" applyFont="1" applyFill="1" applyBorder="1"/>
    <xf numFmtId="9" fontId="1" fillId="2" borderId="1" xfId="1" applyFont="1" applyFill="1" applyBorder="1"/>
    <xf numFmtId="9" fontId="0" fillId="0" borderId="1" xfId="1" applyFont="1" applyBorder="1"/>
    <xf numFmtId="9" fontId="2" fillId="6" borderId="1" xfId="1" applyFont="1" applyFill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4" fontId="0" fillId="7" borderId="1" xfId="0" applyNumberFormat="1" applyFill="1" applyBorder="1"/>
    <xf numFmtId="0" fontId="0" fillId="7" borderId="1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VALIDACION</a:t>
            </a:r>
            <a:r>
              <a:rPr lang="en-US" baseline="0"/>
              <a:t> DEL MODELO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DATOS_MODELO!$Y$1</c:f>
              <c:strCache>
                <c:ptCount val="1"/>
                <c:pt idx="0">
                  <c:v>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DATOS_MODELO!$X$2:$X$145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DATOS_MODELO!$Y$2:$Y$145</c:f>
              <c:numCache>
                <c:formatCode>General</c:formatCode>
                <c:ptCount val="144"/>
                <c:pt idx="0">
                  <c:v>112</c:v>
                </c:pt>
                <c:pt idx="1">
                  <c:v>118</c:v>
                </c:pt>
                <c:pt idx="2">
                  <c:v>132</c:v>
                </c:pt>
                <c:pt idx="3">
                  <c:v>129</c:v>
                </c:pt>
                <c:pt idx="4">
                  <c:v>121</c:v>
                </c:pt>
                <c:pt idx="5">
                  <c:v>135</c:v>
                </c:pt>
                <c:pt idx="6">
                  <c:v>148</c:v>
                </c:pt>
                <c:pt idx="7">
                  <c:v>148</c:v>
                </c:pt>
                <c:pt idx="8">
                  <c:v>136</c:v>
                </c:pt>
                <c:pt idx="9">
                  <c:v>119</c:v>
                </c:pt>
                <c:pt idx="10">
                  <c:v>104</c:v>
                </c:pt>
                <c:pt idx="11">
                  <c:v>118</c:v>
                </c:pt>
                <c:pt idx="12">
                  <c:v>115</c:v>
                </c:pt>
                <c:pt idx="13">
                  <c:v>126</c:v>
                </c:pt>
                <c:pt idx="14">
                  <c:v>141</c:v>
                </c:pt>
                <c:pt idx="15">
                  <c:v>135</c:v>
                </c:pt>
                <c:pt idx="16">
                  <c:v>125</c:v>
                </c:pt>
                <c:pt idx="17">
                  <c:v>149</c:v>
                </c:pt>
                <c:pt idx="18">
                  <c:v>170</c:v>
                </c:pt>
                <c:pt idx="19">
                  <c:v>170</c:v>
                </c:pt>
                <c:pt idx="20">
                  <c:v>158</c:v>
                </c:pt>
                <c:pt idx="21">
                  <c:v>133</c:v>
                </c:pt>
                <c:pt idx="22">
                  <c:v>114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178</c:v>
                </c:pt>
                <c:pt idx="27">
                  <c:v>163</c:v>
                </c:pt>
                <c:pt idx="28">
                  <c:v>172</c:v>
                </c:pt>
                <c:pt idx="29">
                  <c:v>178</c:v>
                </c:pt>
                <c:pt idx="30">
                  <c:v>199</c:v>
                </c:pt>
                <c:pt idx="31">
                  <c:v>199</c:v>
                </c:pt>
                <c:pt idx="32">
                  <c:v>184</c:v>
                </c:pt>
                <c:pt idx="33">
                  <c:v>162</c:v>
                </c:pt>
                <c:pt idx="34">
                  <c:v>146</c:v>
                </c:pt>
                <c:pt idx="35">
                  <c:v>166</c:v>
                </c:pt>
                <c:pt idx="36">
                  <c:v>171</c:v>
                </c:pt>
                <c:pt idx="37">
                  <c:v>180</c:v>
                </c:pt>
                <c:pt idx="38">
                  <c:v>193</c:v>
                </c:pt>
                <c:pt idx="39">
                  <c:v>181</c:v>
                </c:pt>
                <c:pt idx="40">
                  <c:v>183</c:v>
                </c:pt>
                <c:pt idx="41">
                  <c:v>218</c:v>
                </c:pt>
                <c:pt idx="42">
                  <c:v>230</c:v>
                </c:pt>
                <c:pt idx="43">
                  <c:v>242</c:v>
                </c:pt>
                <c:pt idx="44">
                  <c:v>209</c:v>
                </c:pt>
                <c:pt idx="45">
                  <c:v>191</c:v>
                </c:pt>
                <c:pt idx="46">
                  <c:v>172</c:v>
                </c:pt>
                <c:pt idx="47">
                  <c:v>194</c:v>
                </c:pt>
                <c:pt idx="48">
                  <c:v>196</c:v>
                </c:pt>
                <c:pt idx="49">
                  <c:v>196</c:v>
                </c:pt>
                <c:pt idx="50">
                  <c:v>236</c:v>
                </c:pt>
                <c:pt idx="51">
                  <c:v>235</c:v>
                </c:pt>
                <c:pt idx="52">
                  <c:v>229</c:v>
                </c:pt>
                <c:pt idx="53">
                  <c:v>243</c:v>
                </c:pt>
                <c:pt idx="54">
                  <c:v>264</c:v>
                </c:pt>
                <c:pt idx="55">
                  <c:v>272</c:v>
                </c:pt>
                <c:pt idx="56">
                  <c:v>237</c:v>
                </c:pt>
                <c:pt idx="57">
                  <c:v>211</c:v>
                </c:pt>
                <c:pt idx="58">
                  <c:v>180</c:v>
                </c:pt>
                <c:pt idx="59">
                  <c:v>201</c:v>
                </c:pt>
                <c:pt idx="60">
                  <c:v>204</c:v>
                </c:pt>
                <c:pt idx="61">
                  <c:v>188</c:v>
                </c:pt>
                <c:pt idx="62">
                  <c:v>235</c:v>
                </c:pt>
                <c:pt idx="63">
                  <c:v>227</c:v>
                </c:pt>
                <c:pt idx="64">
                  <c:v>234</c:v>
                </c:pt>
                <c:pt idx="65">
                  <c:v>264</c:v>
                </c:pt>
                <c:pt idx="66">
                  <c:v>302</c:v>
                </c:pt>
                <c:pt idx="67">
                  <c:v>293</c:v>
                </c:pt>
                <c:pt idx="68">
                  <c:v>259</c:v>
                </c:pt>
                <c:pt idx="69">
                  <c:v>229</c:v>
                </c:pt>
                <c:pt idx="70">
                  <c:v>203</c:v>
                </c:pt>
                <c:pt idx="71">
                  <c:v>229</c:v>
                </c:pt>
                <c:pt idx="72">
                  <c:v>242</c:v>
                </c:pt>
                <c:pt idx="73">
                  <c:v>233</c:v>
                </c:pt>
                <c:pt idx="74">
                  <c:v>267</c:v>
                </c:pt>
                <c:pt idx="75">
                  <c:v>269</c:v>
                </c:pt>
                <c:pt idx="76">
                  <c:v>270</c:v>
                </c:pt>
                <c:pt idx="77">
                  <c:v>315</c:v>
                </c:pt>
                <c:pt idx="78">
                  <c:v>364</c:v>
                </c:pt>
                <c:pt idx="79">
                  <c:v>347</c:v>
                </c:pt>
                <c:pt idx="80">
                  <c:v>312</c:v>
                </c:pt>
                <c:pt idx="81">
                  <c:v>274</c:v>
                </c:pt>
                <c:pt idx="82">
                  <c:v>237</c:v>
                </c:pt>
                <c:pt idx="83">
                  <c:v>278</c:v>
                </c:pt>
                <c:pt idx="84">
                  <c:v>284</c:v>
                </c:pt>
                <c:pt idx="85">
                  <c:v>277</c:v>
                </c:pt>
                <c:pt idx="86">
                  <c:v>317</c:v>
                </c:pt>
                <c:pt idx="87">
                  <c:v>313</c:v>
                </c:pt>
                <c:pt idx="88">
                  <c:v>318</c:v>
                </c:pt>
                <c:pt idx="89">
                  <c:v>374</c:v>
                </c:pt>
                <c:pt idx="90">
                  <c:v>413</c:v>
                </c:pt>
                <c:pt idx="91">
                  <c:v>405</c:v>
                </c:pt>
                <c:pt idx="92">
                  <c:v>355</c:v>
                </c:pt>
                <c:pt idx="93">
                  <c:v>306</c:v>
                </c:pt>
                <c:pt idx="94">
                  <c:v>271</c:v>
                </c:pt>
                <c:pt idx="95">
                  <c:v>306</c:v>
                </c:pt>
                <c:pt idx="96">
                  <c:v>315</c:v>
                </c:pt>
                <c:pt idx="97">
                  <c:v>301</c:v>
                </c:pt>
                <c:pt idx="98">
                  <c:v>356</c:v>
                </c:pt>
                <c:pt idx="99">
                  <c:v>348</c:v>
                </c:pt>
                <c:pt idx="100">
                  <c:v>355</c:v>
                </c:pt>
                <c:pt idx="101">
                  <c:v>422</c:v>
                </c:pt>
                <c:pt idx="102">
                  <c:v>465</c:v>
                </c:pt>
                <c:pt idx="103">
                  <c:v>467</c:v>
                </c:pt>
                <c:pt idx="104">
                  <c:v>404</c:v>
                </c:pt>
                <c:pt idx="105">
                  <c:v>347</c:v>
                </c:pt>
                <c:pt idx="106">
                  <c:v>305</c:v>
                </c:pt>
                <c:pt idx="107">
                  <c:v>336</c:v>
                </c:pt>
                <c:pt idx="108">
                  <c:v>340</c:v>
                </c:pt>
                <c:pt idx="109">
                  <c:v>318</c:v>
                </c:pt>
                <c:pt idx="110">
                  <c:v>362</c:v>
                </c:pt>
                <c:pt idx="111">
                  <c:v>348</c:v>
                </c:pt>
                <c:pt idx="112">
                  <c:v>363</c:v>
                </c:pt>
                <c:pt idx="113">
                  <c:v>435</c:v>
                </c:pt>
                <c:pt idx="114">
                  <c:v>491</c:v>
                </c:pt>
                <c:pt idx="115">
                  <c:v>505</c:v>
                </c:pt>
                <c:pt idx="116">
                  <c:v>404</c:v>
                </c:pt>
                <c:pt idx="117">
                  <c:v>359</c:v>
                </c:pt>
                <c:pt idx="118">
                  <c:v>310</c:v>
                </c:pt>
                <c:pt idx="119">
                  <c:v>337</c:v>
                </c:pt>
                <c:pt idx="120">
                  <c:v>360</c:v>
                </c:pt>
                <c:pt idx="121">
                  <c:v>342</c:v>
                </c:pt>
                <c:pt idx="122">
                  <c:v>406</c:v>
                </c:pt>
                <c:pt idx="123">
                  <c:v>396</c:v>
                </c:pt>
                <c:pt idx="124">
                  <c:v>420</c:v>
                </c:pt>
                <c:pt idx="125">
                  <c:v>472</c:v>
                </c:pt>
                <c:pt idx="126">
                  <c:v>548</c:v>
                </c:pt>
                <c:pt idx="127">
                  <c:v>559</c:v>
                </c:pt>
                <c:pt idx="128">
                  <c:v>463</c:v>
                </c:pt>
                <c:pt idx="129">
                  <c:v>407</c:v>
                </c:pt>
                <c:pt idx="130">
                  <c:v>362</c:v>
                </c:pt>
                <c:pt idx="131">
                  <c:v>405</c:v>
                </c:pt>
                <c:pt idx="132">
                  <c:v>417</c:v>
                </c:pt>
                <c:pt idx="133">
                  <c:v>391</c:v>
                </c:pt>
                <c:pt idx="134">
                  <c:v>419</c:v>
                </c:pt>
                <c:pt idx="135">
                  <c:v>461</c:v>
                </c:pt>
                <c:pt idx="136">
                  <c:v>472</c:v>
                </c:pt>
                <c:pt idx="137">
                  <c:v>535</c:v>
                </c:pt>
                <c:pt idx="138">
                  <c:v>622</c:v>
                </c:pt>
                <c:pt idx="139">
                  <c:v>606</c:v>
                </c:pt>
                <c:pt idx="140">
                  <c:v>508</c:v>
                </c:pt>
                <c:pt idx="141">
                  <c:v>461</c:v>
                </c:pt>
                <c:pt idx="142">
                  <c:v>390</c:v>
                </c:pt>
                <c:pt idx="143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85-4993-9583-19832D452B71}"/>
            </c:ext>
          </c:extLst>
        </c:ser>
        <c:ser>
          <c:idx val="1"/>
          <c:order val="1"/>
          <c:tx>
            <c:strRef>
              <c:f>DATOS_MODELO!$Z$1</c:f>
              <c:strCache>
                <c:ptCount val="1"/>
                <c:pt idx="0">
                  <c:v>Modelo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DATOS_MODELO!$X$2:$X$145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DATOS_MODELO!$Z$2:$Z$145</c:f>
              <c:numCache>
                <c:formatCode>General</c:formatCode>
                <c:ptCount val="144"/>
                <c:pt idx="12">
                  <c:v>132.99297075401557</c:v>
                </c:pt>
                <c:pt idx="13">
                  <c:v>129.83672282914856</c:v>
                </c:pt>
                <c:pt idx="14">
                  <c:v>151.93276180789601</c:v>
                </c:pt>
                <c:pt idx="15">
                  <c:v>143.17569380872482</c:v>
                </c:pt>
                <c:pt idx="16">
                  <c:v>144.50799590050448</c:v>
                </c:pt>
                <c:pt idx="17">
                  <c:v>145.96560699385728</c:v>
                </c:pt>
                <c:pt idx="18">
                  <c:v>176.12052612826082</c:v>
                </c:pt>
                <c:pt idx="19">
                  <c:v>168.9370332145603</c:v>
                </c:pt>
                <c:pt idx="20">
                  <c:v>165.33208742471061</c:v>
                </c:pt>
                <c:pt idx="21">
                  <c:v>135.92430277261315</c:v>
                </c:pt>
                <c:pt idx="22">
                  <c:v>128.70032474383152</c:v>
                </c:pt>
                <c:pt idx="23">
                  <c:v>128.44395984603403</c:v>
                </c:pt>
                <c:pt idx="24">
                  <c:v>145.51531316287387</c:v>
                </c:pt>
                <c:pt idx="25">
                  <c:v>145.91694349365798</c:v>
                </c:pt>
                <c:pt idx="26">
                  <c:v>164.18437838739567</c:v>
                </c:pt>
                <c:pt idx="27">
                  <c:v>161.51098209513952</c:v>
                </c:pt>
                <c:pt idx="28">
                  <c:v>153.00345369803335</c:v>
                </c:pt>
                <c:pt idx="29">
                  <c:v>181.37761349427586</c:v>
                </c:pt>
                <c:pt idx="30">
                  <c:v>191.09281021978026</c:v>
                </c:pt>
                <c:pt idx="31">
                  <c:v>203.49486840637121</c:v>
                </c:pt>
                <c:pt idx="32">
                  <c:v>180.1153665483202</c:v>
                </c:pt>
                <c:pt idx="33">
                  <c:v>162.35155626832687</c:v>
                </c:pt>
                <c:pt idx="34">
                  <c:v>135.83030802195861</c:v>
                </c:pt>
                <c:pt idx="35">
                  <c:v>167.4244833600994</c:v>
                </c:pt>
                <c:pt idx="36">
                  <c:v>162.23491893809722</c:v>
                </c:pt>
                <c:pt idx="37">
                  <c:v>183.31964511220332</c:v>
                </c:pt>
                <c:pt idx="38">
                  <c:v>192.17341114545724</c:v>
                </c:pt>
                <c:pt idx="39">
                  <c:v>191.40341608987544</c:v>
                </c:pt>
                <c:pt idx="40">
                  <c:v>191.15000881309817</c:v>
                </c:pt>
                <c:pt idx="41">
                  <c:v>201.74124657792711</c:v>
                </c:pt>
                <c:pt idx="42">
                  <c:v>234.84366158382596</c:v>
                </c:pt>
                <c:pt idx="43">
                  <c:v>224.33498074363996</c:v>
                </c:pt>
                <c:pt idx="44">
                  <c:v>223.86182122451407</c:v>
                </c:pt>
                <c:pt idx="45">
                  <c:v>177.54183191473822</c:v>
                </c:pt>
                <c:pt idx="46">
                  <c:v>183.54580308997731</c:v>
                </c:pt>
                <c:pt idx="47">
                  <c:v>178.0590179500154</c:v>
                </c:pt>
                <c:pt idx="48">
                  <c:v>208.30324681864036</c:v>
                </c:pt>
                <c:pt idx="49">
                  <c:v>193.3415284039485</c:v>
                </c:pt>
                <c:pt idx="50">
                  <c:v>221.4296264335257</c:v>
                </c:pt>
                <c:pt idx="51">
                  <c:v>208.67854764822945</c:v>
                </c:pt>
                <c:pt idx="52">
                  <c:v>230.26970514900205</c:v>
                </c:pt>
                <c:pt idx="53">
                  <c:v>237.34816112519374</c:v>
                </c:pt>
                <c:pt idx="54">
                  <c:v>266.28477598754023</c:v>
                </c:pt>
                <c:pt idx="55">
                  <c:v>268.43115745127869</c:v>
                </c:pt>
                <c:pt idx="56">
                  <c:v>246.72813933530944</c:v>
                </c:pt>
                <c:pt idx="57">
                  <c:v>213.05762915367114</c:v>
                </c:pt>
                <c:pt idx="58">
                  <c:v>198.75612907260069</c:v>
                </c:pt>
                <c:pt idx="59">
                  <c:v>206.55423822084572</c:v>
                </c:pt>
                <c:pt idx="60">
                  <c:v>219.00294929205648</c:v>
                </c:pt>
                <c:pt idx="61">
                  <c:v>215.79944919446302</c:v>
                </c:pt>
                <c:pt idx="62">
                  <c:v>245.01852734871835</c:v>
                </c:pt>
                <c:pt idx="63">
                  <c:v>254.74777596309565</c:v>
                </c:pt>
                <c:pt idx="64">
                  <c:v>249.66358404856447</c:v>
                </c:pt>
                <c:pt idx="65">
                  <c:v>266.449696371274</c:v>
                </c:pt>
                <c:pt idx="66">
                  <c:v>294.83934986008467</c:v>
                </c:pt>
                <c:pt idx="67">
                  <c:v>310.19961867386195</c:v>
                </c:pt>
                <c:pt idx="68">
                  <c:v>263.47486545391018</c:v>
                </c:pt>
                <c:pt idx="69">
                  <c:v>242.45808766688367</c:v>
                </c:pt>
                <c:pt idx="70">
                  <c:v>200.09317610060549</c:v>
                </c:pt>
                <c:pt idx="71">
                  <c:v>232.12534858941657</c:v>
                </c:pt>
                <c:pt idx="72">
                  <c:v>221.41421343976836</c:v>
                </c:pt>
                <c:pt idx="73">
                  <c:v>232.59396146747613</c:v>
                </c:pt>
                <c:pt idx="74">
                  <c:v>250.00752004254795</c:v>
                </c:pt>
                <c:pt idx="75">
                  <c:v>263.54706974880492</c:v>
                </c:pt>
                <c:pt idx="76">
                  <c:v>266.63387177282175</c:v>
                </c:pt>
                <c:pt idx="77">
                  <c:v>298.32292032514795</c:v>
                </c:pt>
                <c:pt idx="78">
                  <c:v>340.61405561417359</c:v>
                </c:pt>
                <c:pt idx="79">
                  <c:v>342.5517698467728</c:v>
                </c:pt>
                <c:pt idx="80">
                  <c:v>298.22825030028042</c:v>
                </c:pt>
                <c:pt idx="81">
                  <c:v>268.00599749251774</c:v>
                </c:pt>
                <c:pt idx="82">
                  <c:v>235.04985432777073</c:v>
                </c:pt>
                <c:pt idx="83">
                  <c:v>258.23129168683261</c:v>
                </c:pt>
                <c:pt idx="84">
                  <c:v>274.73478042740931</c:v>
                </c:pt>
                <c:pt idx="85">
                  <c:v>268.56819096802332</c:v>
                </c:pt>
                <c:pt idx="86">
                  <c:v>293.13828920937266</c:v>
                </c:pt>
                <c:pt idx="87">
                  <c:v>305.72980958178113</c:v>
                </c:pt>
                <c:pt idx="88">
                  <c:v>309.11133344947115</c:v>
                </c:pt>
                <c:pt idx="89">
                  <c:v>352.8672799737551</c:v>
                </c:pt>
                <c:pt idx="90">
                  <c:v>407.81321280473219</c:v>
                </c:pt>
                <c:pt idx="91">
                  <c:v>391.41566708849092</c:v>
                </c:pt>
                <c:pt idx="92">
                  <c:v>361.80881498586365</c:v>
                </c:pt>
                <c:pt idx="93">
                  <c:v>302.42802417608436</c:v>
                </c:pt>
                <c:pt idx="94">
                  <c:v>276.41126738962214</c:v>
                </c:pt>
                <c:pt idx="95">
                  <c:v>300.27406989174631</c:v>
                </c:pt>
                <c:pt idx="96">
                  <c:v>315.57677609163375</c:v>
                </c:pt>
                <c:pt idx="97">
                  <c:v>308.67919765235365</c:v>
                </c:pt>
                <c:pt idx="98">
                  <c:v>337.25333721583377</c:v>
                </c:pt>
                <c:pt idx="99">
                  <c:v>350.13831174027393</c:v>
                </c:pt>
                <c:pt idx="100">
                  <c:v>356.76506375643794</c:v>
                </c:pt>
                <c:pt idx="101">
                  <c:v>408.63133457094108</c:v>
                </c:pt>
                <c:pt idx="102">
                  <c:v>458.43539022693477</c:v>
                </c:pt>
                <c:pt idx="103">
                  <c:v>455.16585101902609</c:v>
                </c:pt>
                <c:pt idx="104">
                  <c:v>406.81758203382526</c:v>
                </c:pt>
                <c:pt idx="105">
                  <c:v>343.24136738028403</c:v>
                </c:pt>
                <c:pt idx="106">
                  <c:v>309.67783694939942</c:v>
                </c:pt>
                <c:pt idx="107">
                  <c:v>332.51377232329014</c:v>
                </c:pt>
                <c:pt idx="108">
                  <c:v>345.53050940330593</c:v>
                </c:pt>
                <c:pt idx="109">
                  <c:v>332.6480598890297</c:v>
                </c:pt>
                <c:pt idx="110">
                  <c:v>371.97063995381041</c:v>
                </c:pt>
                <c:pt idx="111">
                  <c:v>370.3358801701861</c:v>
                </c:pt>
                <c:pt idx="112">
                  <c:v>388.08393246651434</c:v>
                </c:pt>
                <c:pt idx="113">
                  <c:v>444.82625790106692</c:v>
                </c:pt>
                <c:pt idx="114">
                  <c:v>504.79650650481892</c:v>
                </c:pt>
                <c:pt idx="115">
                  <c:v>509.15604793384261</c:v>
                </c:pt>
                <c:pt idx="116">
                  <c:v>454.2279317618229</c:v>
                </c:pt>
                <c:pt idx="117">
                  <c:v>364.76222874831024</c:v>
                </c:pt>
                <c:pt idx="118">
                  <c:v>345.00880863714087</c:v>
                </c:pt>
                <c:pt idx="119">
                  <c:v>349.06061064071378</c:v>
                </c:pt>
                <c:pt idx="120">
                  <c:v>369.80764820245867</c:v>
                </c:pt>
                <c:pt idx="121">
                  <c:v>345.5335017976231</c:v>
                </c:pt>
                <c:pt idx="122">
                  <c:v>388.21808919758519</c:v>
                </c:pt>
                <c:pt idx="123">
                  <c:v>382.35175992279414</c:v>
                </c:pt>
                <c:pt idx="124">
                  <c:v>415.73025082505126</c:v>
                </c:pt>
                <c:pt idx="125">
                  <c:v>470.94360419203286</c:v>
                </c:pt>
                <c:pt idx="126">
                  <c:v>539.04106701993101</c:v>
                </c:pt>
                <c:pt idx="127">
                  <c:v>557.05547138567476</c:v>
                </c:pt>
                <c:pt idx="128">
                  <c:v>462.54004877509897</c:v>
                </c:pt>
                <c:pt idx="129">
                  <c:v>405.10535954533248</c:v>
                </c:pt>
                <c:pt idx="130">
                  <c:v>344.87336685043658</c:v>
                </c:pt>
                <c:pt idx="131">
                  <c:v>384.04194138559308</c:v>
                </c:pt>
                <c:pt idx="132">
                  <c:v>384.04675580871549</c:v>
                </c:pt>
                <c:pt idx="133">
                  <c:v>382.10288043398577</c:v>
                </c:pt>
                <c:pt idx="134">
                  <c:v>426.38812602264795</c:v>
                </c:pt>
                <c:pt idx="135">
                  <c:v>428.35423134574842</c:v>
                </c:pt>
                <c:pt idx="136">
                  <c:v>463.93292781960582</c:v>
                </c:pt>
                <c:pt idx="137">
                  <c:v>513.24857812433766</c:v>
                </c:pt>
                <c:pt idx="138">
                  <c:v>597.18451652142494</c:v>
                </c:pt>
                <c:pt idx="139">
                  <c:v>608.86661638101191</c:v>
                </c:pt>
                <c:pt idx="140">
                  <c:v>526.74536029505771</c:v>
                </c:pt>
                <c:pt idx="141">
                  <c:v>456.67731277067361</c:v>
                </c:pt>
                <c:pt idx="142">
                  <c:v>402.52351505837453</c:v>
                </c:pt>
                <c:pt idx="143">
                  <c:v>422.02262747309624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85-4993-9583-19832D452B71}"/>
            </c:ext>
          </c:extLst>
        </c:ser>
        <c:ser>
          <c:idx val="2"/>
          <c:order val="2"/>
          <c:tx>
            <c:strRef>
              <c:f>DATOS_MODELO!$AA$1</c:f>
              <c:strCache>
                <c:ptCount val="1"/>
                <c:pt idx="0">
                  <c:v>Pronostico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DATOS_MODELO!$X$2:$X$145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DATOS_MODELO!$AA$2:$AA$145</c:f>
              <c:numCache>
                <c:formatCode>General</c:formatCode>
                <c:ptCount val="144"/>
                <c:pt idx="132">
                  <c:v>384.04675580871549</c:v>
                </c:pt>
                <c:pt idx="133">
                  <c:v>382.10288043398577</c:v>
                </c:pt>
                <c:pt idx="134">
                  <c:v>426.38812602264795</c:v>
                </c:pt>
                <c:pt idx="135">
                  <c:v>428.35423134574842</c:v>
                </c:pt>
                <c:pt idx="136">
                  <c:v>463.93292781960582</c:v>
                </c:pt>
                <c:pt idx="137">
                  <c:v>513.24857812433766</c:v>
                </c:pt>
                <c:pt idx="138">
                  <c:v>597.18451652142494</c:v>
                </c:pt>
                <c:pt idx="139">
                  <c:v>608.86661638101191</c:v>
                </c:pt>
                <c:pt idx="140">
                  <c:v>526.74536029505771</c:v>
                </c:pt>
                <c:pt idx="141">
                  <c:v>456.67731277067361</c:v>
                </c:pt>
                <c:pt idx="142">
                  <c:v>402.52351505837453</c:v>
                </c:pt>
                <c:pt idx="143">
                  <c:v>422.02262747309624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85-4993-9583-19832D452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68320"/>
        <c:axId val="376668648"/>
      </c:lineChart>
      <c:dateAx>
        <c:axId val="37666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648"/>
        <c:crosses val="autoZero"/>
        <c:auto val="1"/>
        <c:lblOffset val="100"/>
        <c:baseTimeUnit val="months"/>
      </c:dateAx>
      <c:valAx>
        <c:axId val="37666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 FINAL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DATOS_PRONOSTICO!$Y$1</c:f>
              <c:strCache>
                <c:ptCount val="1"/>
                <c:pt idx="0">
                  <c:v>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DATOS_PRONOSTICO!$X$2:$X$181</c:f>
              <c:numCache>
                <c:formatCode>m/d/yyyy</c:formatCode>
                <c:ptCount val="180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  <c:pt idx="144">
                  <c:v>22282</c:v>
                </c:pt>
                <c:pt idx="145">
                  <c:v>22313</c:v>
                </c:pt>
                <c:pt idx="146">
                  <c:v>22341</c:v>
                </c:pt>
                <c:pt idx="147">
                  <c:v>22372</c:v>
                </c:pt>
                <c:pt idx="148">
                  <c:v>22402</c:v>
                </c:pt>
                <c:pt idx="149">
                  <c:v>22433</c:v>
                </c:pt>
                <c:pt idx="150">
                  <c:v>22463</c:v>
                </c:pt>
                <c:pt idx="151">
                  <c:v>22494</c:v>
                </c:pt>
                <c:pt idx="152">
                  <c:v>22525</c:v>
                </c:pt>
                <c:pt idx="153">
                  <c:v>22555</c:v>
                </c:pt>
                <c:pt idx="154">
                  <c:v>22586</c:v>
                </c:pt>
                <c:pt idx="155">
                  <c:v>22616</c:v>
                </c:pt>
                <c:pt idx="156">
                  <c:v>22647</c:v>
                </c:pt>
                <c:pt idx="157">
                  <c:v>22678</c:v>
                </c:pt>
                <c:pt idx="158">
                  <c:v>22706</c:v>
                </c:pt>
                <c:pt idx="159">
                  <c:v>22737</c:v>
                </c:pt>
                <c:pt idx="160">
                  <c:v>22767</c:v>
                </c:pt>
                <c:pt idx="161">
                  <c:v>22798</c:v>
                </c:pt>
                <c:pt idx="162">
                  <c:v>22828</c:v>
                </c:pt>
                <c:pt idx="163">
                  <c:v>22859</c:v>
                </c:pt>
                <c:pt idx="164">
                  <c:v>22890</c:v>
                </c:pt>
                <c:pt idx="165">
                  <c:v>22920</c:v>
                </c:pt>
                <c:pt idx="166">
                  <c:v>22951</c:v>
                </c:pt>
                <c:pt idx="167">
                  <c:v>22981</c:v>
                </c:pt>
                <c:pt idx="168">
                  <c:v>23012</c:v>
                </c:pt>
                <c:pt idx="169">
                  <c:v>23043</c:v>
                </c:pt>
                <c:pt idx="170">
                  <c:v>23071</c:v>
                </c:pt>
                <c:pt idx="171">
                  <c:v>23102</c:v>
                </c:pt>
                <c:pt idx="172">
                  <c:v>23132</c:v>
                </c:pt>
                <c:pt idx="173">
                  <c:v>23163</c:v>
                </c:pt>
                <c:pt idx="174">
                  <c:v>23193</c:v>
                </c:pt>
                <c:pt idx="175">
                  <c:v>23224</c:v>
                </c:pt>
                <c:pt idx="176">
                  <c:v>23255</c:v>
                </c:pt>
                <c:pt idx="177">
                  <c:v>23285</c:v>
                </c:pt>
                <c:pt idx="178">
                  <c:v>23316</c:v>
                </c:pt>
                <c:pt idx="179">
                  <c:v>23346</c:v>
                </c:pt>
              </c:numCache>
            </c:numRef>
          </c:cat>
          <c:val>
            <c:numRef>
              <c:f>DATOS_PRONOSTICO!$Y$2:$Y$181</c:f>
              <c:numCache>
                <c:formatCode>General</c:formatCode>
                <c:ptCount val="180"/>
                <c:pt idx="0">
                  <c:v>112</c:v>
                </c:pt>
                <c:pt idx="1">
                  <c:v>118</c:v>
                </c:pt>
                <c:pt idx="2">
                  <c:v>132</c:v>
                </c:pt>
                <c:pt idx="3">
                  <c:v>129</c:v>
                </c:pt>
                <c:pt idx="4">
                  <c:v>121</c:v>
                </c:pt>
                <c:pt idx="5">
                  <c:v>135</c:v>
                </c:pt>
                <c:pt idx="6">
                  <c:v>148</c:v>
                </c:pt>
                <c:pt idx="7">
                  <c:v>148</c:v>
                </c:pt>
                <c:pt idx="8">
                  <c:v>136</c:v>
                </c:pt>
                <c:pt idx="9">
                  <c:v>119</c:v>
                </c:pt>
                <c:pt idx="10">
                  <c:v>104</c:v>
                </c:pt>
                <c:pt idx="11">
                  <c:v>118</c:v>
                </c:pt>
                <c:pt idx="12">
                  <c:v>115</c:v>
                </c:pt>
                <c:pt idx="13">
                  <c:v>126</c:v>
                </c:pt>
                <c:pt idx="14">
                  <c:v>141</c:v>
                </c:pt>
                <c:pt idx="15">
                  <c:v>135</c:v>
                </c:pt>
                <c:pt idx="16">
                  <c:v>125</c:v>
                </c:pt>
                <c:pt idx="17">
                  <c:v>149</c:v>
                </c:pt>
                <c:pt idx="18">
                  <c:v>170</c:v>
                </c:pt>
                <c:pt idx="19">
                  <c:v>170</c:v>
                </c:pt>
                <c:pt idx="20">
                  <c:v>158</c:v>
                </c:pt>
                <c:pt idx="21">
                  <c:v>133</c:v>
                </c:pt>
                <c:pt idx="22">
                  <c:v>114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178</c:v>
                </c:pt>
                <c:pt idx="27">
                  <c:v>163</c:v>
                </c:pt>
                <c:pt idx="28">
                  <c:v>172</c:v>
                </c:pt>
                <c:pt idx="29">
                  <c:v>178</c:v>
                </c:pt>
                <c:pt idx="30">
                  <c:v>199</c:v>
                </c:pt>
                <c:pt idx="31">
                  <c:v>199</c:v>
                </c:pt>
                <c:pt idx="32">
                  <c:v>184</c:v>
                </c:pt>
                <c:pt idx="33">
                  <c:v>162</c:v>
                </c:pt>
                <c:pt idx="34">
                  <c:v>146</c:v>
                </c:pt>
                <c:pt idx="35">
                  <c:v>166</c:v>
                </c:pt>
                <c:pt idx="36">
                  <c:v>171</c:v>
                </c:pt>
                <c:pt idx="37">
                  <c:v>180</c:v>
                </c:pt>
                <c:pt idx="38">
                  <c:v>193</c:v>
                </c:pt>
                <c:pt idx="39">
                  <c:v>181</c:v>
                </c:pt>
                <c:pt idx="40">
                  <c:v>183</c:v>
                </c:pt>
                <c:pt idx="41">
                  <c:v>218</c:v>
                </c:pt>
                <c:pt idx="42">
                  <c:v>230</c:v>
                </c:pt>
                <c:pt idx="43">
                  <c:v>242</c:v>
                </c:pt>
                <c:pt idx="44">
                  <c:v>209</c:v>
                </c:pt>
                <c:pt idx="45">
                  <c:v>191</c:v>
                </c:pt>
                <c:pt idx="46">
                  <c:v>172</c:v>
                </c:pt>
                <c:pt idx="47">
                  <c:v>194</c:v>
                </c:pt>
                <c:pt idx="48">
                  <c:v>196</c:v>
                </c:pt>
                <c:pt idx="49">
                  <c:v>196</c:v>
                </c:pt>
                <c:pt idx="50">
                  <c:v>236</c:v>
                </c:pt>
                <c:pt idx="51">
                  <c:v>235</c:v>
                </c:pt>
                <c:pt idx="52">
                  <c:v>229</c:v>
                </c:pt>
                <c:pt idx="53">
                  <c:v>243</c:v>
                </c:pt>
                <c:pt idx="54">
                  <c:v>264</c:v>
                </c:pt>
                <c:pt idx="55">
                  <c:v>272</c:v>
                </c:pt>
                <c:pt idx="56">
                  <c:v>237</c:v>
                </c:pt>
                <c:pt idx="57">
                  <c:v>211</c:v>
                </c:pt>
                <c:pt idx="58">
                  <c:v>180</c:v>
                </c:pt>
                <c:pt idx="59">
                  <c:v>201</c:v>
                </c:pt>
                <c:pt idx="60">
                  <c:v>204</c:v>
                </c:pt>
                <c:pt idx="61">
                  <c:v>188</c:v>
                </c:pt>
                <c:pt idx="62">
                  <c:v>235</c:v>
                </c:pt>
                <c:pt idx="63">
                  <c:v>227</c:v>
                </c:pt>
                <c:pt idx="64">
                  <c:v>234</c:v>
                </c:pt>
                <c:pt idx="65">
                  <c:v>264</c:v>
                </c:pt>
                <c:pt idx="66">
                  <c:v>302</c:v>
                </c:pt>
                <c:pt idx="67">
                  <c:v>293</c:v>
                </c:pt>
                <c:pt idx="68">
                  <c:v>259</c:v>
                </c:pt>
                <c:pt idx="69">
                  <c:v>229</c:v>
                </c:pt>
                <c:pt idx="70">
                  <c:v>203</c:v>
                </c:pt>
                <c:pt idx="71">
                  <c:v>229</c:v>
                </c:pt>
                <c:pt idx="72">
                  <c:v>242</c:v>
                </c:pt>
                <c:pt idx="73">
                  <c:v>233</c:v>
                </c:pt>
                <c:pt idx="74">
                  <c:v>267</c:v>
                </c:pt>
                <c:pt idx="75">
                  <c:v>269</c:v>
                </c:pt>
                <c:pt idx="76">
                  <c:v>270</c:v>
                </c:pt>
                <c:pt idx="77">
                  <c:v>315</c:v>
                </c:pt>
                <c:pt idx="78">
                  <c:v>364</c:v>
                </c:pt>
                <c:pt idx="79">
                  <c:v>347</c:v>
                </c:pt>
                <c:pt idx="80">
                  <c:v>312</c:v>
                </c:pt>
                <c:pt idx="81">
                  <c:v>274</c:v>
                </c:pt>
                <c:pt idx="82">
                  <c:v>237</c:v>
                </c:pt>
                <c:pt idx="83">
                  <c:v>278</c:v>
                </c:pt>
                <c:pt idx="84">
                  <c:v>284</c:v>
                </c:pt>
                <c:pt idx="85">
                  <c:v>277</c:v>
                </c:pt>
                <c:pt idx="86">
                  <c:v>317</c:v>
                </c:pt>
                <c:pt idx="87">
                  <c:v>313</c:v>
                </c:pt>
                <c:pt idx="88">
                  <c:v>318</c:v>
                </c:pt>
                <c:pt idx="89">
                  <c:v>374</c:v>
                </c:pt>
                <c:pt idx="90">
                  <c:v>413</c:v>
                </c:pt>
                <c:pt idx="91">
                  <c:v>405</c:v>
                </c:pt>
                <c:pt idx="92">
                  <c:v>355</c:v>
                </c:pt>
                <c:pt idx="93">
                  <c:v>306</c:v>
                </c:pt>
                <c:pt idx="94">
                  <c:v>271</c:v>
                </c:pt>
                <c:pt idx="95">
                  <c:v>306</c:v>
                </c:pt>
                <c:pt idx="96">
                  <c:v>315</c:v>
                </c:pt>
                <c:pt idx="97">
                  <c:v>301</c:v>
                </c:pt>
                <c:pt idx="98">
                  <c:v>356</c:v>
                </c:pt>
                <c:pt idx="99">
                  <c:v>348</c:v>
                </c:pt>
                <c:pt idx="100">
                  <c:v>355</c:v>
                </c:pt>
                <c:pt idx="101">
                  <c:v>422</c:v>
                </c:pt>
                <c:pt idx="102">
                  <c:v>465</c:v>
                </c:pt>
                <c:pt idx="103">
                  <c:v>467</c:v>
                </c:pt>
                <c:pt idx="104">
                  <c:v>404</c:v>
                </c:pt>
                <c:pt idx="105">
                  <c:v>347</c:v>
                </c:pt>
                <c:pt idx="106">
                  <c:v>305</c:v>
                </c:pt>
                <c:pt idx="107">
                  <c:v>336</c:v>
                </c:pt>
                <c:pt idx="108">
                  <c:v>340</c:v>
                </c:pt>
                <c:pt idx="109">
                  <c:v>318</c:v>
                </c:pt>
                <c:pt idx="110">
                  <c:v>362</c:v>
                </c:pt>
                <c:pt idx="111">
                  <c:v>348</c:v>
                </c:pt>
                <c:pt idx="112">
                  <c:v>363</c:v>
                </c:pt>
                <c:pt idx="113">
                  <c:v>435</c:v>
                </c:pt>
                <c:pt idx="114">
                  <c:v>491</c:v>
                </c:pt>
                <c:pt idx="115">
                  <c:v>505</c:v>
                </c:pt>
                <c:pt idx="116">
                  <c:v>404</c:v>
                </c:pt>
                <c:pt idx="117">
                  <c:v>359</c:v>
                </c:pt>
                <c:pt idx="118">
                  <c:v>310</c:v>
                </c:pt>
                <c:pt idx="119">
                  <c:v>337</c:v>
                </c:pt>
                <c:pt idx="120">
                  <c:v>360</c:v>
                </c:pt>
                <c:pt idx="121">
                  <c:v>342</c:v>
                </c:pt>
                <c:pt idx="122">
                  <c:v>406</c:v>
                </c:pt>
                <c:pt idx="123">
                  <c:v>396</c:v>
                </c:pt>
                <c:pt idx="124">
                  <c:v>420</c:v>
                </c:pt>
                <c:pt idx="125">
                  <c:v>472</c:v>
                </c:pt>
                <c:pt idx="126">
                  <c:v>548</c:v>
                </c:pt>
                <c:pt idx="127">
                  <c:v>559</c:v>
                </c:pt>
                <c:pt idx="128">
                  <c:v>463</c:v>
                </c:pt>
                <c:pt idx="129">
                  <c:v>407</c:v>
                </c:pt>
                <c:pt idx="130">
                  <c:v>362</c:v>
                </c:pt>
                <c:pt idx="131">
                  <c:v>405</c:v>
                </c:pt>
                <c:pt idx="132">
                  <c:v>417</c:v>
                </c:pt>
                <c:pt idx="133">
                  <c:v>391</c:v>
                </c:pt>
                <c:pt idx="134">
                  <c:v>419</c:v>
                </c:pt>
                <c:pt idx="135">
                  <c:v>461</c:v>
                </c:pt>
                <c:pt idx="136">
                  <c:v>472</c:v>
                </c:pt>
                <c:pt idx="137">
                  <c:v>535</c:v>
                </c:pt>
                <c:pt idx="138">
                  <c:v>622</c:v>
                </c:pt>
                <c:pt idx="139">
                  <c:v>606</c:v>
                </c:pt>
                <c:pt idx="140">
                  <c:v>508</c:v>
                </c:pt>
                <c:pt idx="141">
                  <c:v>461</c:v>
                </c:pt>
                <c:pt idx="142">
                  <c:v>390</c:v>
                </c:pt>
                <c:pt idx="143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E-497D-BB8A-DF2A4FCE27AE}"/>
            </c:ext>
          </c:extLst>
        </c:ser>
        <c:ser>
          <c:idx val="1"/>
          <c:order val="1"/>
          <c:tx>
            <c:strRef>
              <c:f>DATOS_PRONOSTICO!$Z$1</c:f>
              <c:strCache>
                <c:ptCount val="1"/>
                <c:pt idx="0">
                  <c:v>Modelo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DATOS_PRONOSTICO!$X$2:$X$181</c:f>
              <c:numCache>
                <c:formatCode>m/d/yyyy</c:formatCode>
                <c:ptCount val="180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  <c:pt idx="144">
                  <c:v>22282</c:v>
                </c:pt>
                <c:pt idx="145">
                  <c:v>22313</c:v>
                </c:pt>
                <c:pt idx="146">
                  <c:v>22341</c:v>
                </c:pt>
                <c:pt idx="147">
                  <c:v>22372</c:v>
                </c:pt>
                <c:pt idx="148">
                  <c:v>22402</c:v>
                </c:pt>
                <c:pt idx="149">
                  <c:v>22433</c:v>
                </c:pt>
                <c:pt idx="150">
                  <c:v>22463</c:v>
                </c:pt>
                <c:pt idx="151">
                  <c:v>22494</c:v>
                </c:pt>
                <c:pt idx="152">
                  <c:v>22525</c:v>
                </c:pt>
                <c:pt idx="153">
                  <c:v>22555</c:v>
                </c:pt>
                <c:pt idx="154">
                  <c:v>22586</c:v>
                </c:pt>
                <c:pt idx="155">
                  <c:v>22616</c:v>
                </c:pt>
                <c:pt idx="156">
                  <c:v>22647</c:v>
                </c:pt>
                <c:pt idx="157">
                  <c:v>22678</c:v>
                </c:pt>
                <c:pt idx="158">
                  <c:v>22706</c:v>
                </c:pt>
                <c:pt idx="159">
                  <c:v>22737</c:v>
                </c:pt>
                <c:pt idx="160">
                  <c:v>22767</c:v>
                </c:pt>
                <c:pt idx="161">
                  <c:v>22798</c:v>
                </c:pt>
                <c:pt idx="162">
                  <c:v>22828</c:v>
                </c:pt>
                <c:pt idx="163">
                  <c:v>22859</c:v>
                </c:pt>
                <c:pt idx="164">
                  <c:v>22890</c:v>
                </c:pt>
                <c:pt idx="165">
                  <c:v>22920</c:v>
                </c:pt>
                <c:pt idx="166">
                  <c:v>22951</c:v>
                </c:pt>
                <c:pt idx="167">
                  <c:v>22981</c:v>
                </c:pt>
                <c:pt idx="168">
                  <c:v>23012</c:v>
                </c:pt>
                <c:pt idx="169">
                  <c:v>23043</c:v>
                </c:pt>
                <c:pt idx="170">
                  <c:v>23071</c:v>
                </c:pt>
                <c:pt idx="171">
                  <c:v>23102</c:v>
                </c:pt>
                <c:pt idx="172">
                  <c:v>23132</c:v>
                </c:pt>
                <c:pt idx="173">
                  <c:v>23163</c:v>
                </c:pt>
                <c:pt idx="174">
                  <c:v>23193</c:v>
                </c:pt>
                <c:pt idx="175">
                  <c:v>23224</c:v>
                </c:pt>
                <c:pt idx="176">
                  <c:v>23255</c:v>
                </c:pt>
                <c:pt idx="177">
                  <c:v>23285</c:v>
                </c:pt>
                <c:pt idx="178">
                  <c:v>23316</c:v>
                </c:pt>
                <c:pt idx="179">
                  <c:v>23346</c:v>
                </c:pt>
              </c:numCache>
            </c:numRef>
          </c:cat>
          <c:val>
            <c:numRef>
              <c:f>DATOS_PRONOSTICO!$Z$2:$Z$181</c:f>
              <c:numCache>
                <c:formatCode>General</c:formatCode>
                <c:ptCount val="180"/>
                <c:pt idx="12">
                  <c:v>133.05461904774677</c:v>
                </c:pt>
                <c:pt idx="13">
                  <c:v>131.07975805580531</c:v>
                </c:pt>
                <c:pt idx="14">
                  <c:v>151.19990096200078</c:v>
                </c:pt>
                <c:pt idx="15">
                  <c:v>144.69966799031164</c:v>
                </c:pt>
                <c:pt idx="16">
                  <c:v>143.43693763648042</c:v>
                </c:pt>
                <c:pt idx="17">
                  <c:v>148.94057897826067</c:v>
                </c:pt>
                <c:pt idx="18">
                  <c:v>173.86178826737054</c:v>
                </c:pt>
                <c:pt idx="19">
                  <c:v>169.32546150210493</c:v>
                </c:pt>
                <c:pt idx="20">
                  <c:v>163.78577425864393</c:v>
                </c:pt>
                <c:pt idx="21">
                  <c:v>136.39629620324899</c:v>
                </c:pt>
                <c:pt idx="22">
                  <c:v>125.61741973163072</c:v>
                </c:pt>
                <c:pt idx="23">
                  <c:v>130.64274534798744</c:v>
                </c:pt>
                <c:pt idx="24">
                  <c:v>144.07255075290519</c:v>
                </c:pt>
                <c:pt idx="25">
                  <c:v>145.65967021293861</c:v>
                </c:pt>
                <c:pt idx="26">
                  <c:v>163.07822209082599</c:v>
                </c:pt>
                <c:pt idx="27">
                  <c:v>160.83133310405248</c:v>
                </c:pt>
                <c:pt idx="28">
                  <c:v>151.25089630824303</c:v>
                </c:pt>
                <c:pt idx="29">
                  <c:v>181.04062313007864</c:v>
                </c:pt>
                <c:pt idx="30">
                  <c:v>191.16807055307481</c:v>
                </c:pt>
                <c:pt idx="31">
                  <c:v>200.49145153588978</c:v>
                </c:pt>
                <c:pt idx="32">
                  <c:v>181.27651717613554</c:v>
                </c:pt>
                <c:pt idx="33">
                  <c:v>159.62187321328102</c:v>
                </c:pt>
                <c:pt idx="34">
                  <c:v>135.57645768360507</c:v>
                </c:pt>
                <c:pt idx="35">
                  <c:v>164.97008489107952</c:v>
                </c:pt>
                <c:pt idx="36">
                  <c:v>165.01589687887099</c:v>
                </c:pt>
                <c:pt idx="37">
                  <c:v>180.34654208469266</c:v>
                </c:pt>
                <c:pt idx="38">
                  <c:v>194.29420833755012</c:v>
                </c:pt>
                <c:pt idx="39">
                  <c:v>190.24452342888517</c:v>
                </c:pt>
                <c:pt idx="40">
                  <c:v>192.1112087031388</c:v>
                </c:pt>
                <c:pt idx="41">
                  <c:v>203.25795085684268</c:v>
                </c:pt>
                <c:pt idx="42">
                  <c:v>232.61755319048996</c:v>
                </c:pt>
                <c:pt idx="43">
                  <c:v>224.50565796548904</c:v>
                </c:pt>
                <c:pt idx="44">
                  <c:v>221.27738153067381</c:v>
                </c:pt>
                <c:pt idx="45">
                  <c:v>178.7015094412385</c:v>
                </c:pt>
                <c:pt idx="46">
                  <c:v>179.36813757235115</c:v>
                </c:pt>
                <c:pt idx="47">
                  <c:v>181.469775079729</c:v>
                </c:pt>
                <c:pt idx="48">
                  <c:v>205.4355005319203</c:v>
                </c:pt>
                <c:pt idx="49">
                  <c:v>196.42565896156637</c:v>
                </c:pt>
                <c:pt idx="50">
                  <c:v>218.93565987870033</c:v>
                </c:pt>
                <c:pt idx="51">
                  <c:v>210.11995053814354</c:v>
                </c:pt>
                <c:pt idx="52">
                  <c:v>225.60617045589953</c:v>
                </c:pt>
                <c:pt idx="53">
                  <c:v>241.53645512575793</c:v>
                </c:pt>
                <c:pt idx="54">
                  <c:v>263.70272647815318</c:v>
                </c:pt>
                <c:pt idx="55">
                  <c:v>268.16074155593316</c:v>
                </c:pt>
                <c:pt idx="56">
                  <c:v>246.32322548078494</c:v>
                </c:pt>
                <c:pt idx="57">
                  <c:v>213.57281745573707</c:v>
                </c:pt>
                <c:pt idx="58">
                  <c:v>196.95535311389227</c:v>
                </c:pt>
                <c:pt idx="59">
                  <c:v>208.34653932033763</c:v>
                </c:pt>
                <c:pt idx="60">
                  <c:v>221.21920016343046</c:v>
                </c:pt>
                <c:pt idx="61">
                  <c:v>217.94987318030107</c:v>
                </c:pt>
                <c:pt idx="62">
                  <c:v>247.06883492326219</c:v>
                </c:pt>
                <c:pt idx="63">
                  <c:v>257.63521405848007</c:v>
                </c:pt>
                <c:pt idx="64">
                  <c:v>251.06923673641819</c:v>
                </c:pt>
                <c:pt idx="65">
                  <c:v>270.35613033068188</c:v>
                </c:pt>
                <c:pt idx="66">
                  <c:v>294.84660319255926</c:v>
                </c:pt>
                <c:pt idx="67">
                  <c:v>307.37743557090312</c:v>
                </c:pt>
                <c:pt idx="68">
                  <c:v>266.52009896250058</c:v>
                </c:pt>
                <c:pt idx="69">
                  <c:v>240.48301441334004</c:v>
                </c:pt>
                <c:pt idx="70">
                  <c:v>200.48589511905368</c:v>
                </c:pt>
                <c:pt idx="71">
                  <c:v>229.74919059030694</c:v>
                </c:pt>
                <c:pt idx="72">
                  <c:v>226.31776801805194</c:v>
                </c:pt>
                <c:pt idx="73">
                  <c:v>228.13454737962823</c:v>
                </c:pt>
                <c:pt idx="74">
                  <c:v>252.03917666922845</c:v>
                </c:pt>
                <c:pt idx="75">
                  <c:v>263.05949611406982</c:v>
                </c:pt>
                <c:pt idx="76">
                  <c:v>266.8643936367543</c:v>
                </c:pt>
                <c:pt idx="77">
                  <c:v>299.83921832043228</c:v>
                </c:pt>
                <c:pt idx="78">
                  <c:v>340.20117043828395</c:v>
                </c:pt>
                <c:pt idx="79">
                  <c:v>338.55150056852131</c:v>
                </c:pt>
                <c:pt idx="80">
                  <c:v>298.3183783165523</c:v>
                </c:pt>
                <c:pt idx="81">
                  <c:v>265.99286561155702</c:v>
                </c:pt>
                <c:pt idx="82">
                  <c:v>232.85147042130848</c:v>
                </c:pt>
                <c:pt idx="83">
                  <c:v>257.60888021601505</c:v>
                </c:pt>
                <c:pt idx="84">
                  <c:v>277.16125959977114</c:v>
                </c:pt>
                <c:pt idx="85">
                  <c:v>266.62515063691552</c:v>
                </c:pt>
                <c:pt idx="86">
                  <c:v>293.46590041344871</c:v>
                </c:pt>
                <c:pt idx="87">
                  <c:v>306.50165244708285</c:v>
                </c:pt>
                <c:pt idx="88">
                  <c:v>308.50981187174477</c:v>
                </c:pt>
                <c:pt idx="89">
                  <c:v>355.62596220894147</c:v>
                </c:pt>
                <c:pt idx="90">
                  <c:v>407.03545489959117</c:v>
                </c:pt>
                <c:pt idx="91">
                  <c:v>389.48222616012617</c:v>
                </c:pt>
                <c:pt idx="92">
                  <c:v>360.69810708746968</c:v>
                </c:pt>
                <c:pt idx="93">
                  <c:v>303.47417874090826</c:v>
                </c:pt>
                <c:pt idx="94">
                  <c:v>272.87641744511734</c:v>
                </c:pt>
                <c:pt idx="95">
                  <c:v>302.60062204910821</c:v>
                </c:pt>
                <c:pt idx="96">
                  <c:v>318.17349037687745</c:v>
                </c:pt>
                <c:pt idx="97">
                  <c:v>309.08770411511034</c:v>
                </c:pt>
                <c:pt idx="98">
                  <c:v>338.94503377374315</c:v>
                </c:pt>
                <c:pt idx="99">
                  <c:v>351.97834530264493</c:v>
                </c:pt>
                <c:pt idx="100">
                  <c:v>357.38544780295445</c:v>
                </c:pt>
                <c:pt idx="101">
                  <c:v>413.19762806273923</c:v>
                </c:pt>
                <c:pt idx="102">
                  <c:v>458.55056746574417</c:v>
                </c:pt>
                <c:pt idx="103">
                  <c:v>452.16165426746238</c:v>
                </c:pt>
                <c:pt idx="104">
                  <c:v>407.59721054004575</c:v>
                </c:pt>
                <c:pt idx="105">
                  <c:v>342.37705143780425</c:v>
                </c:pt>
                <c:pt idx="106">
                  <c:v>306.87207547111547</c:v>
                </c:pt>
                <c:pt idx="107">
                  <c:v>334.40596533600262</c:v>
                </c:pt>
                <c:pt idx="108">
                  <c:v>349.02561595513572</c:v>
                </c:pt>
                <c:pt idx="109">
                  <c:v>333.96019958255505</c:v>
                </c:pt>
                <c:pt idx="110">
                  <c:v>374.26644429907367</c:v>
                </c:pt>
                <c:pt idx="111">
                  <c:v>375.93901967986494</c:v>
                </c:pt>
                <c:pt idx="112">
                  <c:v>390.21298120370682</c:v>
                </c:pt>
                <c:pt idx="113">
                  <c:v>453.16213751586884</c:v>
                </c:pt>
                <c:pt idx="114">
                  <c:v>506.73427643066998</c:v>
                </c:pt>
                <c:pt idx="115">
                  <c:v>508.86104076508184</c:v>
                </c:pt>
                <c:pt idx="116">
                  <c:v>456.17585403196904</c:v>
                </c:pt>
                <c:pt idx="117">
                  <c:v>368.01316554767152</c:v>
                </c:pt>
                <c:pt idx="118">
                  <c:v>342.61830018961837</c:v>
                </c:pt>
                <c:pt idx="119">
                  <c:v>353.81593225026495</c:v>
                </c:pt>
                <c:pt idx="120">
                  <c:v>373.5452189495125</c:v>
                </c:pt>
                <c:pt idx="121">
                  <c:v>349.13241787050447</c:v>
                </c:pt>
                <c:pt idx="122">
                  <c:v>386.50508983249063</c:v>
                </c:pt>
                <c:pt idx="123">
                  <c:v>387.71089279289362</c:v>
                </c:pt>
                <c:pt idx="124">
                  <c:v>414.38447009509582</c:v>
                </c:pt>
                <c:pt idx="125">
                  <c:v>477.56803730790762</c:v>
                </c:pt>
                <c:pt idx="126">
                  <c:v>539.36462457032337</c:v>
                </c:pt>
                <c:pt idx="127">
                  <c:v>555.32048626141102</c:v>
                </c:pt>
                <c:pt idx="128">
                  <c:v>463.81037478282622</c:v>
                </c:pt>
                <c:pt idx="129">
                  <c:v>402.13517557842113</c:v>
                </c:pt>
                <c:pt idx="130">
                  <c:v>345.24874288422393</c:v>
                </c:pt>
                <c:pt idx="131">
                  <c:v>380.16718428031646</c:v>
                </c:pt>
                <c:pt idx="132">
                  <c:v>400.99989022891884</c:v>
                </c:pt>
                <c:pt idx="133">
                  <c:v>391.53763625789486</c:v>
                </c:pt>
                <c:pt idx="134">
                  <c:v>426.78701947716797</c:v>
                </c:pt>
                <c:pt idx="135">
                  <c:v>429.38269305981845</c:v>
                </c:pt>
                <c:pt idx="136">
                  <c:v>482.61009307207269</c:v>
                </c:pt>
                <c:pt idx="137">
                  <c:v>514.81740248634981</c:v>
                </c:pt>
                <c:pt idx="138">
                  <c:v>611.95100254794761</c:v>
                </c:pt>
                <c:pt idx="139">
                  <c:v>606.63558737288531</c:v>
                </c:pt>
                <c:pt idx="140">
                  <c:v>528.9300622953001</c:v>
                </c:pt>
                <c:pt idx="141">
                  <c:v>443.2368814976287</c:v>
                </c:pt>
                <c:pt idx="142">
                  <c:v>415.48716283300337</c:v>
                </c:pt>
                <c:pt idx="143">
                  <c:v>424.20853314225451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3E-497D-BB8A-DF2A4FCE27AE}"/>
            </c:ext>
          </c:extLst>
        </c:ser>
        <c:ser>
          <c:idx val="2"/>
          <c:order val="2"/>
          <c:tx>
            <c:strRef>
              <c:f>DATOS_PRONOSTICO!$AA$1</c:f>
              <c:strCache>
                <c:ptCount val="1"/>
                <c:pt idx="0">
                  <c:v>Pronostico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DATOS_PRONOSTICO!$X$2:$X$181</c:f>
              <c:numCache>
                <c:formatCode>m/d/yyyy</c:formatCode>
                <c:ptCount val="180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  <c:pt idx="144">
                  <c:v>22282</c:v>
                </c:pt>
                <c:pt idx="145">
                  <c:v>22313</c:v>
                </c:pt>
                <c:pt idx="146">
                  <c:v>22341</c:v>
                </c:pt>
                <c:pt idx="147">
                  <c:v>22372</c:v>
                </c:pt>
                <c:pt idx="148">
                  <c:v>22402</c:v>
                </c:pt>
                <c:pt idx="149">
                  <c:v>22433</c:v>
                </c:pt>
                <c:pt idx="150">
                  <c:v>22463</c:v>
                </c:pt>
                <c:pt idx="151">
                  <c:v>22494</c:v>
                </c:pt>
                <c:pt idx="152">
                  <c:v>22525</c:v>
                </c:pt>
                <c:pt idx="153">
                  <c:v>22555</c:v>
                </c:pt>
                <c:pt idx="154">
                  <c:v>22586</c:v>
                </c:pt>
                <c:pt idx="155">
                  <c:v>22616</c:v>
                </c:pt>
                <c:pt idx="156">
                  <c:v>22647</c:v>
                </c:pt>
                <c:pt idx="157">
                  <c:v>22678</c:v>
                </c:pt>
                <c:pt idx="158">
                  <c:v>22706</c:v>
                </c:pt>
                <c:pt idx="159">
                  <c:v>22737</c:v>
                </c:pt>
                <c:pt idx="160">
                  <c:v>22767</c:v>
                </c:pt>
                <c:pt idx="161">
                  <c:v>22798</c:v>
                </c:pt>
                <c:pt idx="162">
                  <c:v>22828</c:v>
                </c:pt>
                <c:pt idx="163">
                  <c:v>22859</c:v>
                </c:pt>
                <c:pt idx="164">
                  <c:v>22890</c:v>
                </c:pt>
                <c:pt idx="165">
                  <c:v>22920</c:v>
                </c:pt>
                <c:pt idx="166">
                  <c:v>22951</c:v>
                </c:pt>
                <c:pt idx="167">
                  <c:v>22981</c:v>
                </c:pt>
                <c:pt idx="168">
                  <c:v>23012</c:v>
                </c:pt>
                <c:pt idx="169">
                  <c:v>23043</c:v>
                </c:pt>
                <c:pt idx="170">
                  <c:v>23071</c:v>
                </c:pt>
                <c:pt idx="171">
                  <c:v>23102</c:v>
                </c:pt>
                <c:pt idx="172">
                  <c:v>23132</c:v>
                </c:pt>
                <c:pt idx="173">
                  <c:v>23163</c:v>
                </c:pt>
                <c:pt idx="174">
                  <c:v>23193</c:v>
                </c:pt>
                <c:pt idx="175">
                  <c:v>23224</c:v>
                </c:pt>
                <c:pt idx="176">
                  <c:v>23255</c:v>
                </c:pt>
                <c:pt idx="177">
                  <c:v>23285</c:v>
                </c:pt>
                <c:pt idx="178">
                  <c:v>23316</c:v>
                </c:pt>
                <c:pt idx="179">
                  <c:v>23346</c:v>
                </c:pt>
              </c:numCache>
            </c:numRef>
          </c:cat>
          <c:val>
            <c:numRef>
              <c:f>DATOS_PRONOSTICO!$AA$2:$AA$181</c:f>
              <c:numCache>
                <c:formatCode>General</c:formatCode>
                <c:ptCount val="180"/>
                <c:pt idx="144">
                  <c:v>461.70175755892024</c:v>
                </c:pt>
                <c:pt idx="145">
                  <c:v>429.72024142981525</c:v>
                </c:pt>
                <c:pt idx="146">
                  <c:v>454.82721838357691</c:v>
                </c:pt>
                <c:pt idx="147">
                  <c:v>491.66889662011283</c:v>
                </c:pt>
                <c:pt idx="148">
                  <c:v>527.20273674969508</c:v>
                </c:pt>
                <c:pt idx="149">
                  <c:v>589.55326253418048</c:v>
                </c:pt>
                <c:pt idx="150">
                  <c:v>679.48950493832422</c:v>
                </c:pt>
                <c:pt idx="151">
                  <c:v>662.25373470392231</c:v>
                </c:pt>
                <c:pt idx="152">
                  <c:v>574.99572541139264</c:v>
                </c:pt>
                <c:pt idx="153">
                  <c:v>509.54995943390679</c:v>
                </c:pt>
                <c:pt idx="154">
                  <c:v>437.81920815570072</c:v>
                </c:pt>
                <c:pt idx="155">
                  <c:v>463.59712614828857</c:v>
                </c:pt>
                <c:pt idx="156">
                  <c:v>497.07723594165066</c:v>
                </c:pt>
                <c:pt idx="157">
                  <c:v>476.46193842372088</c:v>
                </c:pt>
                <c:pt idx="158">
                  <c:v>488.97306147767495</c:v>
                </c:pt>
                <c:pt idx="159">
                  <c:v>529.54227239072429</c:v>
                </c:pt>
                <c:pt idx="160">
                  <c:v>578.94829685644345</c:v>
                </c:pt>
                <c:pt idx="161">
                  <c:v>650.95547744192709</c:v>
                </c:pt>
                <c:pt idx="162">
                  <c:v>740.52088181809302</c:v>
                </c:pt>
                <c:pt idx="163">
                  <c:v>725.86076250631015</c:v>
                </c:pt>
                <c:pt idx="164">
                  <c:v>643.76538867412967</c:v>
                </c:pt>
                <c:pt idx="165">
                  <c:v>564.42775243324763</c:v>
                </c:pt>
                <c:pt idx="166">
                  <c:v>490.32922900766368</c:v>
                </c:pt>
                <c:pt idx="167">
                  <c:v>505.92427202212355</c:v>
                </c:pt>
                <c:pt idx="168">
                  <c:v>535.77489686334422</c:v>
                </c:pt>
                <c:pt idx="169">
                  <c:v>522.77072870507504</c:v>
                </c:pt>
                <c:pt idx="170">
                  <c:v>527.12442776337798</c:v>
                </c:pt>
                <c:pt idx="171">
                  <c:v>570.07783185191215</c:v>
                </c:pt>
                <c:pt idx="172">
                  <c:v>631.61766025914335</c:v>
                </c:pt>
                <c:pt idx="173">
                  <c:v>716.20727432441026</c:v>
                </c:pt>
                <c:pt idx="174">
                  <c:v>806.99685531627324</c:v>
                </c:pt>
                <c:pt idx="175">
                  <c:v>796.05040649235377</c:v>
                </c:pt>
                <c:pt idx="176">
                  <c:v>716.11692723343731</c:v>
                </c:pt>
                <c:pt idx="177">
                  <c:v>625.41098067993107</c:v>
                </c:pt>
                <c:pt idx="178">
                  <c:v>547.64606663850691</c:v>
                </c:pt>
                <c:pt idx="179">
                  <c:v>552.04803653113777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3E-497D-BB8A-DF2A4FCE2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68320"/>
        <c:axId val="376668648"/>
      </c:lineChart>
      <c:dateAx>
        <c:axId val="37666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648"/>
        <c:crosses val="autoZero"/>
        <c:auto val="1"/>
        <c:lblOffset val="100"/>
        <c:baseTimeUnit val="months"/>
      </c:dateAx>
      <c:valAx>
        <c:axId val="37666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Precisiones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PRECISIONES!$E$2:$DB$2</c:f>
              <c:numCache>
                <c:formatCode>0%</c:formatCode>
                <c:ptCount val="102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</c:numCache>
            </c:numRef>
          </c:xVal>
          <c:yVal>
            <c:numRef>
              <c:f>PRECISIONES!$E$15:$DB$15</c:f>
              <c:numCache>
                <c:formatCode>0%</c:formatCode>
                <c:ptCount val="102"/>
                <c:pt idx="0">
                  <c:v>0</c:v>
                </c:pt>
                <c:pt idx="1">
                  <c:v>0.18673433671683584</c:v>
                </c:pt>
                <c:pt idx="2">
                  <c:v>0.34266713335666782</c:v>
                </c:pt>
                <c:pt idx="3">
                  <c:v>0.48669933496674833</c:v>
                </c:pt>
                <c:pt idx="4">
                  <c:v>0.75271263563178159</c:v>
                </c:pt>
                <c:pt idx="5">
                  <c:v>0.84634231711585584</c:v>
                </c:pt>
                <c:pt idx="6">
                  <c:v>0.84634231711585584</c:v>
                </c:pt>
                <c:pt idx="7">
                  <c:v>0.84634231711585584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0B-4E0C-B8EB-EA028F6BB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605344"/>
        <c:axId val="480605672"/>
      </c:scatterChart>
      <c:valAx>
        <c:axId val="48060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05672"/>
        <c:crosses val="autoZero"/>
        <c:crossBetween val="midCat"/>
      </c:valAx>
      <c:valAx>
        <c:axId val="48060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0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198120</xdr:colOff>
      <xdr:row>1</xdr:row>
      <xdr:rowOff>0</xdr:rowOff>
    </xdr:from>
    <xdr:to>
      <xdr:col>38</xdr:col>
      <xdr:colOff>243840</xdr:colOff>
      <xdr:row>19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2E6147-B5F0-43AE-9A20-8E2BF8A1F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198120</xdr:colOff>
      <xdr:row>1</xdr:row>
      <xdr:rowOff>0</xdr:rowOff>
    </xdr:from>
    <xdr:to>
      <xdr:col>38</xdr:col>
      <xdr:colOff>243840</xdr:colOff>
      <xdr:row>19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04471E-44D4-4C6A-A9B4-594A85ED2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16</xdr:row>
      <xdr:rowOff>0</xdr:rowOff>
    </xdr:from>
    <xdr:to>
      <xdr:col>11</xdr:col>
      <xdr:colOff>304800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2B8CBB-3434-4345-BC46-BF202854A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A8B3C-EF30-4AED-B0FC-3ED9CD17A2A2}">
  <sheetPr codeName="Sheet1"/>
  <dimension ref="A1:AE150"/>
  <sheetViews>
    <sheetView topLeftCell="AA1" workbookViewId="0">
      <pane ySplit="1" topLeftCell="A7" activePane="bottomLeft" state="frozen"/>
      <selection pane="bottomLeft" activeCell="AO14" sqref="AO14"/>
    </sheetView>
  </sheetViews>
  <sheetFormatPr defaultRowHeight="14.4" x14ac:dyDescent="0.3"/>
  <cols>
    <col min="1" max="1" width="10.5546875" bestFit="1" customWidth="1"/>
    <col min="2" max="2" width="10.6640625" bestFit="1" customWidth="1"/>
    <col min="20" max="21" width="12" bestFit="1" customWidth="1"/>
    <col min="24" max="24" width="10.5546875" bestFit="1" customWidth="1"/>
    <col min="27" max="27" width="10" bestFit="1" customWidth="1"/>
  </cols>
  <sheetData>
    <row r="1" spans="1:27" x14ac:dyDescent="0.3">
      <c r="A1" s="1" t="s">
        <v>0</v>
      </c>
      <c r="B1" s="1" t="s">
        <v>1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26</v>
      </c>
      <c r="O1" s="1" t="s">
        <v>27</v>
      </c>
      <c r="P1" s="1" t="s">
        <v>28</v>
      </c>
      <c r="R1" s="1" t="s">
        <v>15</v>
      </c>
      <c r="T1" s="1" t="s">
        <v>30</v>
      </c>
      <c r="U1" s="1" t="s">
        <v>31</v>
      </c>
      <c r="X1" s="1" t="s">
        <v>0</v>
      </c>
      <c r="Y1" s="1" t="s">
        <v>34</v>
      </c>
      <c r="Z1" s="1" t="s">
        <v>35</v>
      </c>
      <c r="AA1" s="7" t="s">
        <v>41</v>
      </c>
    </row>
    <row r="2" spans="1:27" x14ac:dyDescent="0.3">
      <c r="A2" s="2">
        <v>17899</v>
      </c>
      <c r="B2" s="3">
        <v>112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R2" s="3">
        <v>112</v>
      </c>
      <c r="T2" s="3">
        <f>SUMPRODUCT(D14:P14,$D$149:$P$149)</f>
        <v>132.99335488915492</v>
      </c>
      <c r="U2" s="3">
        <f>SUMPRODUCT(D14:P14,$D$150:$P$150)</f>
        <v>132.99297075401557</v>
      </c>
      <c r="X2" s="2">
        <v>17899</v>
      </c>
      <c r="Y2" s="3">
        <v>112</v>
      </c>
      <c r="Z2" s="3"/>
      <c r="AA2" s="3"/>
    </row>
    <row r="3" spans="1:27" x14ac:dyDescent="0.3">
      <c r="A3" s="2">
        <v>17930</v>
      </c>
      <c r="B3" s="3">
        <v>118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>
        <v>112</v>
      </c>
      <c r="R3" s="3">
        <v>118</v>
      </c>
      <c r="T3" s="3">
        <f>SUMPRODUCT(D15:P15,$D$149:$P$149)</f>
        <v>129.83783405532455</v>
      </c>
      <c r="U3" s="3">
        <f>SUMPRODUCT(D15:P15,$D$150:$P$150)</f>
        <v>129.83672282914856</v>
      </c>
      <c r="X3" s="2">
        <v>17930</v>
      </c>
      <c r="Y3" s="3">
        <v>118</v>
      </c>
      <c r="Z3" s="3"/>
      <c r="AA3" s="3"/>
    </row>
    <row r="4" spans="1:27" x14ac:dyDescent="0.3">
      <c r="A4" s="2">
        <v>17958</v>
      </c>
      <c r="B4" s="3">
        <v>132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>
        <f>P3</f>
        <v>112</v>
      </c>
      <c r="P4" s="3">
        <f>R3</f>
        <v>118</v>
      </c>
      <c r="R4" s="3">
        <v>132</v>
      </c>
      <c r="T4" s="3">
        <f>SUMPRODUCT(D16:P16,$D$149:$P$149)</f>
        <v>151.93351795821741</v>
      </c>
      <c r="U4" s="3">
        <f>SUMPRODUCT(D16:P16,$D$150:$P$150)</f>
        <v>151.93276180789601</v>
      </c>
      <c r="X4" s="2">
        <v>17958</v>
      </c>
      <c r="Y4" s="3">
        <v>132</v>
      </c>
      <c r="Z4" s="3"/>
      <c r="AA4" s="3"/>
    </row>
    <row r="5" spans="1:27" x14ac:dyDescent="0.3">
      <c r="A5" s="2">
        <v>17989</v>
      </c>
      <c r="B5" s="3">
        <v>129</v>
      </c>
      <c r="D5" s="3"/>
      <c r="E5" s="3"/>
      <c r="F5" s="3"/>
      <c r="G5" s="3"/>
      <c r="H5" s="3"/>
      <c r="I5" s="3"/>
      <c r="J5" s="3"/>
      <c r="K5" s="3"/>
      <c r="L5" s="3"/>
      <c r="M5" s="3"/>
      <c r="N5" s="3">
        <f>O4</f>
        <v>112</v>
      </c>
      <c r="O5" s="3">
        <f>P4</f>
        <v>118</v>
      </c>
      <c r="P5" s="3">
        <f t="shared" ref="P5:P13" si="0">R4</f>
        <v>132</v>
      </c>
      <c r="R5" s="3">
        <v>129</v>
      </c>
      <c r="T5" s="3">
        <f>SUMPRODUCT(D17:P17,$D$149:$P$149)</f>
        <v>143.17635152420416</v>
      </c>
      <c r="U5" s="3">
        <f>SUMPRODUCT(D17:P17,$D$150:$P$150)</f>
        <v>143.17569380872482</v>
      </c>
      <c r="X5" s="2">
        <v>17989</v>
      </c>
      <c r="Y5" s="3">
        <v>129</v>
      </c>
      <c r="Z5" s="3"/>
      <c r="AA5" s="3"/>
    </row>
    <row r="6" spans="1:27" x14ac:dyDescent="0.3">
      <c r="A6" s="2">
        <v>18019</v>
      </c>
      <c r="B6" s="3">
        <v>121</v>
      </c>
      <c r="D6" s="3"/>
      <c r="E6" s="3"/>
      <c r="F6" s="3"/>
      <c r="G6" s="3"/>
      <c r="H6" s="3"/>
      <c r="I6" s="3"/>
      <c r="J6" s="3"/>
      <c r="K6" s="3"/>
      <c r="L6" s="3"/>
      <c r="M6" s="3">
        <f>N5</f>
        <v>112</v>
      </c>
      <c r="N6" s="3">
        <f t="shared" ref="N6:N13" si="1">O5</f>
        <v>118</v>
      </c>
      <c r="O6" s="3">
        <f t="shared" ref="O6:O13" si="2">P5</f>
        <v>132</v>
      </c>
      <c r="P6" s="3">
        <f t="shared" si="0"/>
        <v>129</v>
      </c>
      <c r="R6" s="3">
        <v>121</v>
      </c>
      <c r="T6" s="3">
        <f>SUMPRODUCT(D18:P18,$D$149:$P$149)</f>
        <v>144.50860350351908</v>
      </c>
      <c r="U6" s="3">
        <f>SUMPRODUCT(D18:P18,$D$150:$P$150)</f>
        <v>144.50799590050448</v>
      </c>
      <c r="X6" s="2">
        <v>18019</v>
      </c>
      <c r="Y6" s="3">
        <v>121</v>
      </c>
      <c r="Z6" s="3"/>
      <c r="AA6" s="3"/>
    </row>
    <row r="7" spans="1:27" x14ac:dyDescent="0.3">
      <c r="A7" s="2">
        <v>18050</v>
      </c>
      <c r="B7" s="3">
        <v>135</v>
      </c>
      <c r="D7" s="3"/>
      <c r="E7" s="3"/>
      <c r="F7" s="3"/>
      <c r="G7" s="3"/>
      <c r="H7" s="3"/>
      <c r="I7" s="3"/>
      <c r="J7" s="3"/>
      <c r="K7" s="3"/>
      <c r="L7" s="3">
        <f>M6</f>
        <v>112</v>
      </c>
      <c r="M7" s="3">
        <f t="shared" ref="M7:M13" si="3">N6</f>
        <v>118</v>
      </c>
      <c r="N7" s="3">
        <f t="shared" si="1"/>
        <v>132</v>
      </c>
      <c r="O7" s="3">
        <f t="shared" si="2"/>
        <v>129</v>
      </c>
      <c r="P7" s="3">
        <f t="shared" si="0"/>
        <v>121</v>
      </c>
      <c r="R7" s="3">
        <v>135</v>
      </c>
      <c r="T7" s="3">
        <f>SUMPRODUCT(D19:P19,$D$149:$P$149)</f>
        <v>145.96706061587577</v>
      </c>
      <c r="U7" s="3">
        <f>SUMPRODUCT(D19:P19,$D$150:$P$150)</f>
        <v>145.96560699385728</v>
      </c>
      <c r="X7" s="2">
        <v>18050</v>
      </c>
      <c r="Y7" s="3">
        <v>135</v>
      </c>
      <c r="Z7" s="3"/>
      <c r="AA7" s="3"/>
    </row>
    <row r="8" spans="1:27" x14ac:dyDescent="0.3">
      <c r="A8" s="2">
        <v>18080</v>
      </c>
      <c r="B8" s="3">
        <v>148</v>
      </c>
      <c r="D8" s="3"/>
      <c r="E8" s="3"/>
      <c r="F8" s="3"/>
      <c r="G8" s="3"/>
      <c r="H8" s="3"/>
      <c r="I8" s="3"/>
      <c r="J8" s="3"/>
      <c r="K8" s="3">
        <f>L7</f>
        <v>112</v>
      </c>
      <c r="L8" s="3">
        <f t="shared" ref="L8:L13" si="4">M7</f>
        <v>118</v>
      </c>
      <c r="M8" s="3">
        <f t="shared" si="3"/>
        <v>132</v>
      </c>
      <c r="N8" s="3">
        <f t="shared" si="1"/>
        <v>129</v>
      </c>
      <c r="O8" s="3">
        <f t="shared" si="2"/>
        <v>121</v>
      </c>
      <c r="P8" s="3">
        <f t="shared" si="0"/>
        <v>135</v>
      </c>
      <c r="R8" s="3">
        <v>148</v>
      </c>
      <c r="T8" s="3">
        <f>SUMPRODUCT(D20:P20,$D$149:$P$149)</f>
        <v>176.12096368590306</v>
      </c>
      <c r="U8" s="3">
        <f>SUMPRODUCT(D20:P20,$D$150:$P$150)</f>
        <v>176.12052612826082</v>
      </c>
      <c r="X8" s="2">
        <v>18080</v>
      </c>
      <c r="Y8" s="3">
        <v>148</v>
      </c>
      <c r="Z8" s="3"/>
      <c r="AA8" s="3"/>
    </row>
    <row r="9" spans="1:27" x14ac:dyDescent="0.3">
      <c r="A9" s="2">
        <v>18111</v>
      </c>
      <c r="B9" s="3">
        <v>148</v>
      </c>
      <c r="D9" s="3"/>
      <c r="E9" s="3"/>
      <c r="F9" s="3"/>
      <c r="G9" s="3"/>
      <c r="H9" s="3"/>
      <c r="I9" s="3"/>
      <c r="J9" s="3">
        <f>K8</f>
        <v>112</v>
      </c>
      <c r="K9" s="3">
        <f t="shared" ref="K9:K13" si="5">L8</f>
        <v>118</v>
      </c>
      <c r="L9" s="3">
        <f t="shared" si="4"/>
        <v>132</v>
      </c>
      <c r="M9" s="3">
        <f t="shared" si="3"/>
        <v>129</v>
      </c>
      <c r="N9" s="3">
        <f t="shared" si="1"/>
        <v>121</v>
      </c>
      <c r="O9" s="3">
        <f t="shared" si="2"/>
        <v>135</v>
      </c>
      <c r="P9" s="3">
        <f t="shared" si="0"/>
        <v>148</v>
      </c>
      <c r="R9" s="3">
        <v>148</v>
      </c>
      <c r="T9" s="3">
        <f>SUMPRODUCT(D21:P21,$D$149:$P$149)</f>
        <v>168.9373045747945</v>
      </c>
      <c r="U9" s="3">
        <f>SUMPRODUCT(D21:P21,$D$150:$P$150)</f>
        <v>168.9370332145603</v>
      </c>
      <c r="X9" s="2">
        <v>18111</v>
      </c>
      <c r="Y9" s="3">
        <v>148</v>
      </c>
      <c r="Z9" s="3"/>
      <c r="AA9" s="3"/>
    </row>
    <row r="10" spans="1:27" x14ac:dyDescent="0.3">
      <c r="A10" s="2">
        <v>18142</v>
      </c>
      <c r="B10" s="3">
        <v>136</v>
      </c>
      <c r="D10" s="3"/>
      <c r="E10" s="3"/>
      <c r="F10" s="3"/>
      <c r="G10" s="3"/>
      <c r="H10" s="3"/>
      <c r="I10" s="3">
        <f>J9</f>
        <v>112</v>
      </c>
      <c r="J10" s="3">
        <f t="shared" ref="J10:J13" si="6">K9</f>
        <v>118</v>
      </c>
      <c r="K10" s="3">
        <f t="shared" si="5"/>
        <v>132</v>
      </c>
      <c r="L10" s="3">
        <f t="shared" si="4"/>
        <v>129</v>
      </c>
      <c r="M10" s="3">
        <f t="shared" si="3"/>
        <v>121</v>
      </c>
      <c r="N10" s="3">
        <f t="shared" si="1"/>
        <v>135</v>
      </c>
      <c r="O10" s="3">
        <f t="shared" si="2"/>
        <v>148</v>
      </c>
      <c r="P10" s="3">
        <f t="shared" si="0"/>
        <v>148</v>
      </c>
      <c r="R10" s="3">
        <v>136</v>
      </c>
      <c r="T10" s="3">
        <f>SUMPRODUCT(D22:P22,$D$149:$P$149)</f>
        <v>165.33219412496965</v>
      </c>
      <c r="U10" s="3">
        <f>SUMPRODUCT(D22:P22,$D$150:$P$150)</f>
        <v>165.33208742471061</v>
      </c>
      <c r="X10" s="2">
        <v>18142</v>
      </c>
      <c r="Y10" s="3">
        <v>136</v>
      </c>
      <c r="Z10" s="3"/>
      <c r="AA10" s="3"/>
    </row>
    <row r="11" spans="1:27" x14ac:dyDescent="0.3">
      <c r="A11" s="2">
        <v>18172</v>
      </c>
      <c r="B11" s="3">
        <v>119</v>
      </c>
      <c r="D11" s="3"/>
      <c r="E11" s="3"/>
      <c r="F11" s="3"/>
      <c r="G11" s="3"/>
      <c r="H11" s="3">
        <f>I10</f>
        <v>112</v>
      </c>
      <c r="I11" s="3">
        <f t="shared" ref="I11:I13" si="7">J10</f>
        <v>118</v>
      </c>
      <c r="J11" s="3">
        <f t="shared" si="6"/>
        <v>132</v>
      </c>
      <c r="K11" s="3">
        <f t="shared" si="5"/>
        <v>129</v>
      </c>
      <c r="L11" s="3">
        <f t="shared" si="4"/>
        <v>121</v>
      </c>
      <c r="M11" s="3">
        <f t="shared" si="3"/>
        <v>135</v>
      </c>
      <c r="N11" s="3">
        <f t="shared" si="1"/>
        <v>148</v>
      </c>
      <c r="O11" s="3">
        <f t="shared" si="2"/>
        <v>148</v>
      </c>
      <c r="P11" s="3">
        <f t="shared" si="0"/>
        <v>136</v>
      </c>
      <c r="R11" s="3">
        <v>119</v>
      </c>
      <c r="T11" s="3">
        <f>SUMPRODUCT(D23:P23,$D$149:$P$149)</f>
        <v>135.92534895217938</v>
      </c>
      <c r="U11" s="3">
        <f>SUMPRODUCT(D23:P23,$D$150:$P$150)</f>
        <v>135.92430277261315</v>
      </c>
      <c r="X11" s="2">
        <v>18172</v>
      </c>
      <c r="Y11" s="3">
        <v>119</v>
      </c>
      <c r="Z11" s="3"/>
      <c r="AA11" s="3"/>
    </row>
    <row r="12" spans="1:27" x14ac:dyDescent="0.3">
      <c r="A12" s="2">
        <v>18203</v>
      </c>
      <c r="B12" s="3">
        <v>104</v>
      </c>
      <c r="D12" s="3"/>
      <c r="E12" s="3"/>
      <c r="F12" s="3"/>
      <c r="G12" s="3">
        <f>H11</f>
        <v>112</v>
      </c>
      <c r="H12" s="3">
        <f>I11</f>
        <v>118</v>
      </c>
      <c r="I12" s="3">
        <f t="shared" si="7"/>
        <v>132</v>
      </c>
      <c r="J12" s="3">
        <f t="shared" si="6"/>
        <v>129</v>
      </c>
      <c r="K12" s="3">
        <f t="shared" si="5"/>
        <v>121</v>
      </c>
      <c r="L12" s="3">
        <f t="shared" si="4"/>
        <v>135</v>
      </c>
      <c r="M12" s="3">
        <f t="shared" si="3"/>
        <v>148</v>
      </c>
      <c r="N12" s="3">
        <f t="shared" si="1"/>
        <v>148</v>
      </c>
      <c r="O12" s="3">
        <f t="shared" si="2"/>
        <v>136</v>
      </c>
      <c r="P12" s="3">
        <f t="shared" si="0"/>
        <v>119</v>
      </c>
      <c r="R12" s="3">
        <v>104</v>
      </c>
      <c r="T12" s="3">
        <f>SUMPRODUCT(D24:P24,$D$149:$P$149)</f>
        <v>128.70124906707639</v>
      </c>
      <c r="U12" s="3">
        <f>SUMPRODUCT(D24:P24,$D$150:$P$150)</f>
        <v>128.70032474383152</v>
      </c>
      <c r="X12" s="2">
        <v>18203</v>
      </c>
      <c r="Y12" s="3">
        <v>104</v>
      </c>
      <c r="Z12" s="3"/>
      <c r="AA12" s="3"/>
    </row>
    <row r="13" spans="1:27" x14ac:dyDescent="0.3">
      <c r="A13" s="2">
        <v>18233</v>
      </c>
      <c r="B13" s="3">
        <v>118</v>
      </c>
      <c r="D13" s="3"/>
      <c r="E13" s="3"/>
      <c r="F13" s="3">
        <f>G12</f>
        <v>112</v>
      </c>
      <c r="G13" s="3">
        <f>H12</f>
        <v>118</v>
      </c>
      <c r="H13" s="3">
        <f>I12</f>
        <v>132</v>
      </c>
      <c r="I13" s="3">
        <f t="shared" si="7"/>
        <v>129</v>
      </c>
      <c r="J13" s="3">
        <f t="shared" si="6"/>
        <v>121</v>
      </c>
      <c r="K13" s="3">
        <f t="shared" si="5"/>
        <v>135</v>
      </c>
      <c r="L13" s="3">
        <f t="shared" si="4"/>
        <v>148</v>
      </c>
      <c r="M13" s="3">
        <f t="shared" si="3"/>
        <v>148</v>
      </c>
      <c r="N13" s="3">
        <f t="shared" si="1"/>
        <v>136</v>
      </c>
      <c r="O13" s="3">
        <f t="shared" si="2"/>
        <v>119</v>
      </c>
      <c r="P13" s="3">
        <f t="shared" si="0"/>
        <v>104</v>
      </c>
      <c r="R13" s="3">
        <v>118</v>
      </c>
      <c r="T13" s="3">
        <f>SUMPRODUCT(D25:P25,$D$149:$P$149)</f>
        <v>128.44515906234693</v>
      </c>
      <c r="U13" s="3">
        <f>SUMPRODUCT(D25:P25,$D$150:$P$150)</f>
        <v>128.44395984603403</v>
      </c>
      <c r="X13" s="2">
        <v>18233</v>
      </c>
      <c r="Y13" s="3">
        <v>118</v>
      </c>
      <c r="Z13" s="3"/>
      <c r="AA13" s="3"/>
    </row>
    <row r="14" spans="1:27" x14ac:dyDescent="0.3">
      <c r="A14" s="2">
        <v>18264</v>
      </c>
      <c r="B14" s="3">
        <v>115</v>
      </c>
      <c r="D14" s="3">
        <v>1</v>
      </c>
      <c r="E14" s="3">
        <v>112</v>
      </c>
      <c r="F14" s="3">
        <v>118</v>
      </c>
      <c r="G14" s="3">
        <v>132</v>
      </c>
      <c r="H14" s="3">
        <v>129</v>
      </c>
      <c r="I14" s="3">
        <v>121</v>
      </c>
      <c r="J14" s="3">
        <v>135</v>
      </c>
      <c r="K14" s="3">
        <v>148</v>
      </c>
      <c r="L14" s="3">
        <v>148</v>
      </c>
      <c r="M14" s="3">
        <v>136</v>
      </c>
      <c r="N14" s="3">
        <v>119</v>
      </c>
      <c r="O14" s="3">
        <v>104</v>
      </c>
      <c r="P14" s="3">
        <v>118</v>
      </c>
      <c r="R14" s="3">
        <v>115</v>
      </c>
      <c r="T14" s="3">
        <f>SUMPRODUCT(D26:P26,$D$149:$P$149)</f>
        <v>145.51499018236592</v>
      </c>
      <c r="U14" s="3">
        <f>SUMPRODUCT(D26:P26,$D$150:$P$150)</f>
        <v>145.51531316287387</v>
      </c>
      <c r="X14" s="2">
        <v>18264</v>
      </c>
      <c r="Y14" s="3">
        <v>115</v>
      </c>
      <c r="Z14" s="3">
        <f>U2</f>
        <v>132.99297075401557</v>
      </c>
      <c r="AA14" s="3"/>
    </row>
    <row r="15" spans="1:27" x14ac:dyDescent="0.3">
      <c r="A15" s="2">
        <v>18295</v>
      </c>
      <c r="B15" s="3">
        <v>126</v>
      </c>
      <c r="D15" s="3">
        <v>1</v>
      </c>
      <c r="E15" s="3">
        <v>118</v>
      </c>
      <c r="F15" s="3">
        <v>132</v>
      </c>
      <c r="G15" s="3">
        <v>129</v>
      </c>
      <c r="H15" s="3">
        <v>121</v>
      </c>
      <c r="I15" s="3">
        <v>135</v>
      </c>
      <c r="J15" s="3">
        <v>148</v>
      </c>
      <c r="K15" s="3">
        <v>148</v>
      </c>
      <c r="L15" s="3">
        <v>136</v>
      </c>
      <c r="M15" s="3">
        <v>119</v>
      </c>
      <c r="N15" s="3">
        <v>104</v>
      </c>
      <c r="O15" s="3">
        <v>118</v>
      </c>
      <c r="P15" s="3">
        <v>115</v>
      </c>
      <c r="R15" s="3">
        <v>126</v>
      </c>
      <c r="T15" s="3">
        <f>SUMPRODUCT(D27:P27,$D$149:$P$149)</f>
        <v>145.91741561569717</v>
      </c>
      <c r="U15" s="3">
        <f>SUMPRODUCT(D27:P27,$D$150:$P$150)</f>
        <v>145.91694349365798</v>
      </c>
      <c r="X15" s="2">
        <v>18295</v>
      </c>
      <c r="Y15" s="3">
        <v>126</v>
      </c>
      <c r="Z15" s="3">
        <f t="shared" ref="Z15:Z78" si="8">U3</f>
        <v>129.83672282914856</v>
      </c>
      <c r="AA15" s="3"/>
    </row>
    <row r="16" spans="1:27" x14ac:dyDescent="0.3">
      <c r="A16" s="2">
        <v>18323</v>
      </c>
      <c r="B16" s="3">
        <v>141</v>
      </c>
      <c r="D16" s="3">
        <v>1</v>
      </c>
      <c r="E16" s="3">
        <v>132</v>
      </c>
      <c r="F16" s="3">
        <v>129</v>
      </c>
      <c r="G16" s="3">
        <v>121</v>
      </c>
      <c r="H16" s="3">
        <v>135</v>
      </c>
      <c r="I16" s="3">
        <v>148</v>
      </c>
      <c r="J16" s="3">
        <v>148</v>
      </c>
      <c r="K16" s="3">
        <v>136</v>
      </c>
      <c r="L16" s="3">
        <v>119</v>
      </c>
      <c r="M16" s="3">
        <v>104</v>
      </c>
      <c r="N16" s="3">
        <v>118</v>
      </c>
      <c r="O16" s="3">
        <v>115</v>
      </c>
      <c r="P16" s="3">
        <v>126</v>
      </c>
      <c r="R16" s="3">
        <v>141</v>
      </c>
      <c r="T16" s="3">
        <f>SUMPRODUCT(D28:P28,$D$149:$P$149)</f>
        <v>164.18492651394035</v>
      </c>
      <c r="U16" s="3">
        <f>SUMPRODUCT(D28:P28,$D$150:$P$150)</f>
        <v>164.18437838739567</v>
      </c>
      <c r="X16" s="2">
        <v>18323</v>
      </c>
      <c r="Y16" s="3">
        <v>141</v>
      </c>
      <c r="Z16" s="3">
        <f t="shared" si="8"/>
        <v>151.93276180789601</v>
      </c>
      <c r="AA16" s="3"/>
    </row>
    <row r="17" spans="1:31" x14ac:dyDescent="0.3">
      <c r="A17" s="2">
        <v>18354</v>
      </c>
      <c r="B17" s="3">
        <v>135</v>
      </c>
      <c r="D17" s="3">
        <v>1</v>
      </c>
      <c r="E17" s="3">
        <v>129</v>
      </c>
      <c r="F17" s="3">
        <v>121</v>
      </c>
      <c r="G17" s="3">
        <v>135</v>
      </c>
      <c r="H17" s="3">
        <v>148</v>
      </c>
      <c r="I17" s="3">
        <v>148</v>
      </c>
      <c r="J17" s="3">
        <v>136</v>
      </c>
      <c r="K17" s="3">
        <v>119</v>
      </c>
      <c r="L17" s="3">
        <v>104</v>
      </c>
      <c r="M17" s="3">
        <v>118</v>
      </c>
      <c r="N17" s="3">
        <v>115</v>
      </c>
      <c r="O17" s="3">
        <v>126</v>
      </c>
      <c r="P17" s="3">
        <v>141</v>
      </c>
      <c r="R17" s="3">
        <v>135</v>
      </c>
      <c r="T17" s="3">
        <f>SUMPRODUCT(D29:P29,$D$149:$P$149)</f>
        <v>161.51080528731825</v>
      </c>
      <c r="U17" s="3">
        <f>SUMPRODUCT(D29:P29,$D$150:$P$150)</f>
        <v>161.51098209513952</v>
      </c>
      <c r="X17" s="2">
        <v>18354</v>
      </c>
      <c r="Y17" s="3">
        <v>135</v>
      </c>
      <c r="Z17" s="3">
        <f t="shared" si="8"/>
        <v>143.17569380872482</v>
      </c>
      <c r="AA17" s="3"/>
    </row>
    <row r="18" spans="1:31" x14ac:dyDescent="0.3">
      <c r="A18" s="2">
        <v>18384</v>
      </c>
      <c r="B18" s="3">
        <v>125</v>
      </c>
      <c r="D18" s="3">
        <v>1</v>
      </c>
      <c r="E18" s="3">
        <v>121</v>
      </c>
      <c r="F18" s="3">
        <v>135</v>
      </c>
      <c r="G18" s="3">
        <v>148</v>
      </c>
      <c r="H18" s="3">
        <v>148</v>
      </c>
      <c r="I18" s="3">
        <v>136</v>
      </c>
      <c r="J18" s="3">
        <v>119</v>
      </c>
      <c r="K18" s="3">
        <v>104</v>
      </c>
      <c r="L18" s="3">
        <v>118</v>
      </c>
      <c r="M18" s="3">
        <v>115</v>
      </c>
      <c r="N18" s="3">
        <v>126</v>
      </c>
      <c r="O18" s="3">
        <v>141</v>
      </c>
      <c r="P18" s="3">
        <v>135</v>
      </c>
      <c r="R18" s="3">
        <v>125</v>
      </c>
      <c r="T18" s="3">
        <f>SUMPRODUCT(D30:P30,$D$149:$P$149)</f>
        <v>153.00373719574699</v>
      </c>
      <c r="U18" s="3">
        <f>SUMPRODUCT(D30:P30,$D$150:$P$150)</f>
        <v>153.00345369803335</v>
      </c>
      <c r="X18" s="2">
        <v>18384</v>
      </c>
      <c r="Y18" s="3">
        <v>125</v>
      </c>
      <c r="Z18" s="3">
        <f t="shared" si="8"/>
        <v>144.50799590050448</v>
      </c>
      <c r="AA18" s="3"/>
    </row>
    <row r="19" spans="1:31" x14ac:dyDescent="0.3">
      <c r="A19" s="2">
        <v>18415</v>
      </c>
      <c r="B19" s="3">
        <v>149</v>
      </c>
      <c r="D19" s="3">
        <v>1</v>
      </c>
      <c r="E19" s="3">
        <v>135</v>
      </c>
      <c r="F19" s="3">
        <v>148</v>
      </c>
      <c r="G19" s="3">
        <v>148</v>
      </c>
      <c r="H19" s="3">
        <v>136</v>
      </c>
      <c r="I19" s="3">
        <v>119</v>
      </c>
      <c r="J19" s="3">
        <v>104</v>
      </c>
      <c r="K19" s="3">
        <v>118</v>
      </c>
      <c r="L19" s="3">
        <v>115</v>
      </c>
      <c r="M19" s="3">
        <v>126</v>
      </c>
      <c r="N19" s="3">
        <v>141</v>
      </c>
      <c r="O19" s="3">
        <v>135</v>
      </c>
      <c r="P19" s="3">
        <v>125</v>
      </c>
      <c r="R19" s="3">
        <v>149</v>
      </c>
      <c r="T19" s="3">
        <f>SUMPRODUCT(D31:P31,$D$149:$P$149)</f>
        <v>181.37770938007293</v>
      </c>
      <c r="U19" s="3">
        <f>SUMPRODUCT(D31:P31,$D$150:$P$150)</f>
        <v>181.37761349427586</v>
      </c>
      <c r="X19" s="2">
        <v>18415</v>
      </c>
      <c r="Y19" s="3">
        <v>149</v>
      </c>
      <c r="Z19" s="3">
        <f t="shared" si="8"/>
        <v>145.96560699385728</v>
      </c>
      <c r="AA19" s="3"/>
    </row>
    <row r="20" spans="1:31" x14ac:dyDescent="0.3">
      <c r="A20" s="2">
        <v>18445</v>
      </c>
      <c r="B20" s="3">
        <v>170</v>
      </c>
      <c r="D20" s="3">
        <v>1</v>
      </c>
      <c r="E20" s="3">
        <v>148</v>
      </c>
      <c r="F20" s="3">
        <v>148</v>
      </c>
      <c r="G20" s="3">
        <v>136</v>
      </c>
      <c r="H20" s="3">
        <v>119</v>
      </c>
      <c r="I20" s="3">
        <v>104</v>
      </c>
      <c r="J20" s="3">
        <v>118</v>
      </c>
      <c r="K20" s="3">
        <v>115</v>
      </c>
      <c r="L20" s="3">
        <v>126</v>
      </c>
      <c r="M20" s="3">
        <v>141</v>
      </c>
      <c r="N20" s="3">
        <v>135</v>
      </c>
      <c r="O20" s="3">
        <v>125</v>
      </c>
      <c r="P20" s="3">
        <v>149</v>
      </c>
      <c r="R20" s="3">
        <v>170</v>
      </c>
      <c r="T20" s="3">
        <f>SUMPRODUCT(D32:P32,$D$149:$P$149)</f>
        <v>191.09364542204159</v>
      </c>
      <c r="U20" s="3">
        <f>SUMPRODUCT(D32:P32,$D$150:$P$150)</f>
        <v>191.09281021978026</v>
      </c>
      <c r="X20" s="2">
        <v>18445</v>
      </c>
      <c r="Y20" s="3">
        <v>170</v>
      </c>
      <c r="Z20" s="3">
        <f t="shared" si="8"/>
        <v>176.12052612826082</v>
      </c>
      <c r="AA20" s="3"/>
    </row>
    <row r="21" spans="1:31" x14ac:dyDescent="0.3">
      <c r="A21" s="2">
        <v>18476</v>
      </c>
      <c r="B21" s="3">
        <v>170</v>
      </c>
      <c r="D21" s="3">
        <v>1</v>
      </c>
      <c r="E21" s="3">
        <v>148</v>
      </c>
      <c r="F21" s="3">
        <v>136</v>
      </c>
      <c r="G21" s="3">
        <v>119</v>
      </c>
      <c r="H21" s="3">
        <v>104</v>
      </c>
      <c r="I21" s="3">
        <v>118</v>
      </c>
      <c r="J21" s="3">
        <v>115</v>
      </c>
      <c r="K21" s="3">
        <v>126</v>
      </c>
      <c r="L21" s="3">
        <v>141</v>
      </c>
      <c r="M21" s="3">
        <v>135</v>
      </c>
      <c r="N21" s="3">
        <v>125</v>
      </c>
      <c r="O21" s="3">
        <v>149</v>
      </c>
      <c r="P21" s="3">
        <v>170</v>
      </c>
      <c r="R21" s="3">
        <v>170</v>
      </c>
      <c r="T21" s="3">
        <f>SUMPRODUCT(D33:P33,$D$149:$P$149)</f>
        <v>203.49483508005633</v>
      </c>
      <c r="U21" s="3">
        <f>SUMPRODUCT(D33:P33,$D$150:$P$150)</f>
        <v>203.49486840637121</v>
      </c>
      <c r="X21" s="2">
        <v>18476</v>
      </c>
      <c r="Y21" s="3">
        <v>170</v>
      </c>
      <c r="Z21" s="3">
        <f t="shared" si="8"/>
        <v>168.9370332145603</v>
      </c>
      <c r="AA21" s="3"/>
    </row>
    <row r="22" spans="1:31" x14ac:dyDescent="0.3">
      <c r="A22" s="2">
        <v>18507</v>
      </c>
      <c r="B22" s="3">
        <v>158</v>
      </c>
      <c r="D22" s="3">
        <v>1</v>
      </c>
      <c r="E22" s="3">
        <v>136</v>
      </c>
      <c r="F22" s="3">
        <v>119</v>
      </c>
      <c r="G22" s="3">
        <v>104</v>
      </c>
      <c r="H22" s="3">
        <v>118</v>
      </c>
      <c r="I22" s="3">
        <v>115</v>
      </c>
      <c r="J22" s="3">
        <v>126</v>
      </c>
      <c r="K22" s="3">
        <v>141</v>
      </c>
      <c r="L22" s="3">
        <v>135</v>
      </c>
      <c r="M22" s="3">
        <v>125</v>
      </c>
      <c r="N22" s="3">
        <v>149</v>
      </c>
      <c r="O22" s="3">
        <v>170</v>
      </c>
      <c r="P22" s="3">
        <v>170</v>
      </c>
      <c r="R22" s="3">
        <v>158</v>
      </c>
      <c r="T22" s="3">
        <f>SUMPRODUCT(D34:P34,$D$149:$P$149)</f>
        <v>180.11552782235583</v>
      </c>
      <c r="U22" s="3">
        <f>SUMPRODUCT(D34:P34,$D$150:$P$150)</f>
        <v>180.1153665483202</v>
      </c>
      <c r="X22" s="2">
        <v>18507</v>
      </c>
      <c r="Y22" s="3">
        <v>158</v>
      </c>
      <c r="Z22" s="3">
        <f t="shared" si="8"/>
        <v>165.33208742471061</v>
      </c>
      <c r="AA22" s="3"/>
      <c r="AC22" s="1" t="s">
        <v>36</v>
      </c>
      <c r="AD22" s="3">
        <f>AVERAGE(Y14:Y133)</f>
        <v>276.07499999999999</v>
      </c>
      <c r="AE22" s="1" t="s">
        <v>40</v>
      </c>
    </row>
    <row r="23" spans="1:31" x14ac:dyDescent="0.3">
      <c r="A23" s="2">
        <v>18537</v>
      </c>
      <c r="B23" s="3">
        <v>133</v>
      </c>
      <c r="D23" s="3">
        <v>1</v>
      </c>
      <c r="E23" s="3">
        <v>119</v>
      </c>
      <c r="F23" s="3">
        <v>104</v>
      </c>
      <c r="G23" s="3">
        <v>118</v>
      </c>
      <c r="H23" s="3">
        <v>115</v>
      </c>
      <c r="I23" s="3">
        <v>126</v>
      </c>
      <c r="J23" s="3">
        <v>141</v>
      </c>
      <c r="K23" s="3">
        <v>135</v>
      </c>
      <c r="L23" s="3">
        <v>125</v>
      </c>
      <c r="M23" s="3">
        <v>149</v>
      </c>
      <c r="N23" s="3">
        <v>170</v>
      </c>
      <c r="O23" s="3">
        <v>170</v>
      </c>
      <c r="P23" s="3">
        <v>158</v>
      </c>
      <c r="R23" s="3">
        <v>133</v>
      </c>
      <c r="T23" s="3">
        <f>SUMPRODUCT(D35:P35,$D$149:$P$149)</f>
        <v>162.35193670292557</v>
      </c>
      <c r="U23" s="3">
        <f>SUMPRODUCT(D35:P35,$D$150:$P$150)</f>
        <v>162.35155626832687</v>
      </c>
      <c r="X23" s="2">
        <v>18537</v>
      </c>
      <c r="Y23" s="3">
        <v>133</v>
      </c>
      <c r="Z23" s="3">
        <f t="shared" si="8"/>
        <v>135.92430277261315</v>
      </c>
      <c r="AA23" s="3"/>
      <c r="AC23" s="1" t="s">
        <v>37</v>
      </c>
      <c r="AD23" s="3">
        <f t="array" ref="AD23">SUM( ( Y14:Y133 - $AD$22 )^2 )</f>
        <v>1243754.3249999995</v>
      </c>
      <c r="AE23" s="3">
        <f>SUM(AE24:AE25)</f>
        <v>0.99999999999877032</v>
      </c>
    </row>
    <row r="24" spans="1:31" x14ac:dyDescent="0.3">
      <c r="A24" s="2">
        <v>18568</v>
      </c>
      <c r="B24" s="3">
        <v>114</v>
      </c>
      <c r="D24" s="3">
        <v>1</v>
      </c>
      <c r="E24" s="3">
        <v>104</v>
      </c>
      <c r="F24" s="3">
        <v>118</v>
      </c>
      <c r="G24" s="3">
        <v>115</v>
      </c>
      <c r="H24" s="3">
        <v>126</v>
      </c>
      <c r="I24" s="3">
        <v>141</v>
      </c>
      <c r="J24" s="3">
        <v>135</v>
      </c>
      <c r="K24" s="3">
        <v>125</v>
      </c>
      <c r="L24" s="3">
        <v>149</v>
      </c>
      <c r="M24" s="3">
        <v>170</v>
      </c>
      <c r="N24" s="3">
        <v>170</v>
      </c>
      <c r="O24" s="3">
        <v>158</v>
      </c>
      <c r="P24" s="3">
        <v>133</v>
      </c>
      <c r="R24" s="3">
        <v>114</v>
      </c>
      <c r="T24" s="3">
        <f>SUMPRODUCT(D36:P36,$D$149:$P$149)</f>
        <v>135.831035022783</v>
      </c>
      <c r="U24" s="3">
        <f>SUMPRODUCT(D36:P36,$D$150:$P$150)</f>
        <v>135.83030802195861</v>
      </c>
      <c r="X24" s="2">
        <v>18568</v>
      </c>
      <c r="Y24" s="3">
        <v>114</v>
      </c>
      <c r="Z24" s="3">
        <f t="shared" si="8"/>
        <v>128.70032474383152</v>
      </c>
      <c r="AA24" s="3"/>
      <c r="AC24" s="1" t="s">
        <v>39</v>
      </c>
      <c r="AD24" s="3">
        <f t="array" ref="AD24">SUM( ( Y14:Y133 - Z14:Z133)^2 )</f>
        <v>19933.308099416314</v>
      </c>
      <c r="AE24" s="3">
        <f>AD24/AD23</f>
        <v>1.6026724650317355E-2</v>
      </c>
    </row>
    <row r="25" spans="1:31" x14ac:dyDescent="0.3">
      <c r="A25" s="2">
        <v>18598</v>
      </c>
      <c r="B25" s="3">
        <v>140</v>
      </c>
      <c r="D25" s="3">
        <v>1</v>
      </c>
      <c r="E25" s="3">
        <v>118</v>
      </c>
      <c r="F25" s="3">
        <v>115</v>
      </c>
      <c r="G25" s="3">
        <v>126</v>
      </c>
      <c r="H25" s="3">
        <v>141</v>
      </c>
      <c r="I25" s="3">
        <v>135</v>
      </c>
      <c r="J25" s="3">
        <v>125</v>
      </c>
      <c r="K25" s="3">
        <v>149</v>
      </c>
      <c r="L25" s="3">
        <v>170</v>
      </c>
      <c r="M25" s="3">
        <v>170</v>
      </c>
      <c r="N25" s="3">
        <v>158</v>
      </c>
      <c r="O25" s="3">
        <v>133</v>
      </c>
      <c r="P25" s="3">
        <v>114</v>
      </c>
      <c r="R25" s="3">
        <v>140</v>
      </c>
      <c r="T25" s="3">
        <f>SUMPRODUCT(D37:P37,$D$149:$P$149)</f>
        <v>167.42494308232455</v>
      </c>
      <c r="U25" s="3">
        <f>SUMPRODUCT(D37:P37,$D$150:$P$150)</f>
        <v>167.4244833600994</v>
      </c>
      <c r="X25" s="2">
        <v>18598</v>
      </c>
      <c r="Y25" s="3">
        <v>140</v>
      </c>
      <c r="Z25" s="3">
        <f t="shared" si="8"/>
        <v>128.44395984603403</v>
      </c>
      <c r="AA25" s="3"/>
      <c r="AC25" s="1" t="s">
        <v>38</v>
      </c>
      <c r="AD25" s="3">
        <f t="array" ref="AD25">SUM( (Z14:Z133 -$AD$22)^2 )</f>
        <v>1223821.0168990537</v>
      </c>
      <c r="AE25" s="3">
        <f>AD25/AD23</f>
        <v>0.98397327534845291</v>
      </c>
    </row>
    <row r="26" spans="1:31" x14ac:dyDescent="0.3">
      <c r="A26" s="2">
        <v>18629</v>
      </c>
      <c r="B26" s="3">
        <v>145</v>
      </c>
      <c r="D26" s="3">
        <v>1</v>
      </c>
      <c r="E26" s="3">
        <v>115</v>
      </c>
      <c r="F26" s="3">
        <v>126</v>
      </c>
      <c r="G26" s="3">
        <v>141</v>
      </c>
      <c r="H26" s="3">
        <v>135</v>
      </c>
      <c r="I26" s="3">
        <v>125</v>
      </c>
      <c r="J26" s="3">
        <v>149</v>
      </c>
      <c r="K26" s="3">
        <v>170</v>
      </c>
      <c r="L26" s="3">
        <v>170</v>
      </c>
      <c r="M26" s="3">
        <v>158</v>
      </c>
      <c r="N26" s="3">
        <v>133</v>
      </c>
      <c r="O26" s="3">
        <v>114</v>
      </c>
      <c r="P26" s="3">
        <v>140</v>
      </c>
      <c r="R26" s="3">
        <v>145</v>
      </c>
      <c r="T26" s="3">
        <f>SUMPRODUCT(D38:P38,$D$149:$P$149)</f>
        <v>162.23513255331312</v>
      </c>
      <c r="U26" s="3">
        <f>SUMPRODUCT(D38:P38,$D$150:$P$150)</f>
        <v>162.23491893809722</v>
      </c>
      <c r="X26" s="2">
        <v>18629</v>
      </c>
      <c r="Y26" s="3">
        <v>145</v>
      </c>
      <c r="Z26" s="3">
        <f t="shared" si="8"/>
        <v>145.51531316287387</v>
      </c>
      <c r="AA26" s="3"/>
    </row>
    <row r="27" spans="1:31" x14ac:dyDescent="0.3">
      <c r="A27" s="2">
        <v>18660</v>
      </c>
      <c r="B27" s="3">
        <v>150</v>
      </c>
      <c r="D27" s="3">
        <v>1</v>
      </c>
      <c r="E27" s="3">
        <v>126</v>
      </c>
      <c r="F27" s="3">
        <v>141</v>
      </c>
      <c r="G27" s="3">
        <v>135</v>
      </c>
      <c r="H27" s="3">
        <v>125</v>
      </c>
      <c r="I27" s="3">
        <v>149</v>
      </c>
      <c r="J27" s="3">
        <v>170</v>
      </c>
      <c r="K27" s="3">
        <v>170</v>
      </c>
      <c r="L27" s="3">
        <v>158</v>
      </c>
      <c r="M27" s="3">
        <v>133</v>
      </c>
      <c r="N27" s="3">
        <v>114</v>
      </c>
      <c r="O27" s="3">
        <v>140</v>
      </c>
      <c r="P27" s="3">
        <v>145</v>
      </c>
      <c r="R27" s="3">
        <v>150</v>
      </c>
      <c r="T27" s="3">
        <f>SUMPRODUCT(D39:P39,$D$149:$P$149)</f>
        <v>183.31951148492635</v>
      </c>
      <c r="U27" s="3">
        <f>SUMPRODUCT(D39:P39,$D$150:$P$150)</f>
        <v>183.31964511220332</v>
      </c>
      <c r="X27" s="2">
        <v>18660</v>
      </c>
      <c r="Y27" s="3">
        <v>150</v>
      </c>
      <c r="Z27" s="3">
        <f t="shared" si="8"/>
        <v>145.91694349365798</v>
      </c>
      <c r="AA27" s="3"/>
    </row>
    <row r="28" spans="1:31" x14ac:dyDescent="0.3">
      <c r="A28" s="2">
        <v>18688</v>
      </c>
      <c r="B28" s="3">
        <v>178</v>
      </c>
      <c r="D28" s="3">
        <v>1</v>
      </c>
      <c r="E28" s="3">
        <v>141</v>
      </c>
      <c r="F28" s="3">
        <v>135</v>
      </c>
      <c r="G28" s="3">
        <v>125</v>
      </c>
      <c r="H28" s="3">
        <v>149</v>
      </c>
      <c r="I28" s="3">
        <v>170</v>
      </c>
      <c r="J28" s="3">
        <v>170</v>
      </c>
      <c r="K28" s="3">
        <v>158</v>
      </c>
      <c r="L28" s="3">
        <v>133</v>
      </c>
      <c r="M28" s="3">
        <v>114</v>
      </c>
      <c r="N28" s="3">
        <v>140</v>
      </c>
      <c r="O28" s="3">
        <v>145</v>
      </c>
      <c r="P28" s="3">
        <v>150</v>
      </c>
      <c r="R28" s="3">
        <v>178</v>
      </c>
      <c r="T28" s="3">
        <f>SUMPRODUCT(D40:P40,$D$149:$P$149)</f>
        <v>192.17427410118972</v>
      </c>
      <c r="U28" s="3">
        <f>SUMPRODUCT(D40:P40,$D$150:$P$150)</f>
        <v>192.17341114545724</v>
      </c>
      <c r="X28" s="2">
        <v>18688</v>
      </c>
      <c r="Y28" s="3">
        <v>178</v>
      </c>
      <c r="Z28" s="3">
        <f t="shared" si="8"/>
        <v>164.18437838739567</v>
      </c>
      <c r="AA28" s="3"/>
    </row>
    <row r="29" spans="1:31" x14ac:dyDescent="0.3">
      <c r="A29" s="2">
        <v>18719</v>
      </c>
      <c r="B29" s="3">
        <v>163</v>
      </c>
      <c r="D29" s="3">
        <v>1</v>
      </c>
      <c r="E29" s="3">
        <v>135</v>
      </c>
      <c r="F29" s="3">
        <v>125</v>
      </c>
      <c r="G29" s="3">
        <v>149</v>
      </c>
      <c r="H29" s="3">
        <v>170</v>
      </c>
      <c r="I29" s="3">
        <v>170</v>
      </c>
      <c r="J29" s="3">
        <v>158</v>
      </c>
      <c r="K29" s="3">
        <v>133</v>
      </c>
      <c r="L29" s="3">
        <v>114</v>
      </c>
      <c r="M29" s="3">
        <v>140</v>
      </c>
      <c r="N29" s="3">
        <v>145</v>
      </c>
      <c r="O29" s="3">
        <v>150</v>
      </c>
      <c r="P29" s="3">
        <v>178</v>
      </c>
      <c r="R29" s="3">
        <v>163</v>
      </c>
      <c r="T29" s="3">
        <f>SUMPRODUCT(D41:P41,$D$149:$P$149)</f>
        <v>191.40345650186913</v>
      </c>
      <c r="U29" s="3">
        <f>SUMPRODUCT(D41:P41,$D$150:$P$150)</f>
        <v>191.40341608987544</v>
      </c>
      <c r="X29" s="2">
        <v>18719</v>
      </c>
      <c r="Y29" s="3">
        <v>163</v>
      </c>
      <c r="Z29" s="3">
        <f t="shared" si="8"/>
        <v>161.51098209513952</v>
      </c>
      <c r="AA29" s="3"/>
    </row>
    <row r="30" spans="1:31" x14ac:dyDescent="0.3">
      <c r="A30" s="2">
        <v>18749</v>
      </c>
      <c r="B30" s="3">
        <v>172</v>
      </c>
      <c r="D30" s="3">
        <v>1</v>
      </c>
      <c r="E30" s="3">
        <v>125</v>
      </c>
      <c r="F30" s="3">
        <v>149</v>
      </c>
      <c r="G30" s="3">
        <v>170</v>
      </c>
      <c r="H30" s="3">
        <v>170</v>
      </c>
      <c r="I30" s="3">
        <v>158</v>
      </c>
      <c r="J30" s="3">
        <v>133</v>
      </c>
      <c r="K30" s="3">
        <v>114</v>
      </c>
      <c r="L30" s="3">
        <v>140</v>
      </c>
      <c r="M30" s="3">
        <v>145</v>
      </c>
      <c r="N30" s="3">
        <v>150</v>
      </c>
      <c r="O30" s="3">
        <v>178</v>
      </c>
      <c r="P30" s="3">
        <v>163</v>
      </c>
      <c r="R30" s="3">
        <v>172</v>
      </c>
      <c r="T30" s="3">
        <f>SUMPRODUCT(D42:P42,$D$149:$P$149)</f>
        <v>191.15081729530459</v>
      </c>
      <c r="U30" s="3">
        <f>SUMPRODUCT(D42:P42,$D$150:$P$150)</f>
        <v>191.15000881309817</v>
      </c>
      <c r="X30" s="2">
        <v>18749</v>
      </c>
      <c r="Y30" s="3">
        <v>172</v>
      </c>
      <c r="Z30" s="3">
        <f t="shared" si="8"/>
        <v>153.00345369803335</v>
      </c>
      <c r="AA30" s="3"/>
    </row>
    <row r="31" spans="1:31" x14ac:dyDescent="0.3">
      <c r="A31" s="2">
        <v>18780</v>
      </c>
      <c r="B31" s="3">
        <v>178</v>
      </c>
      <c r="D31" s="3">
        <v>1</v>
      </c>
      <c r="E31" s="3">
        <v>149</v>
      </c>
      <c r="F31" s="3">
        <v>170</v>
      </c>
      <c r="G31" s="3">
        <v>170</v>
      </c>
      <c r="H31" s="3">
        <v>158</v>
      </c>
      <c r="I31" s="3">
        <v>133</v>
      </c>
      <c r="J31" s="3">
        <v>114</v>
      </c>
      <c r="K31" s="3">
        <v>140</v>
      </c>
      <c r="L31" s="3">
        <v>145</v>
      </c>
      <c r="M31" s="3">
        <v>150</v>
      </c>
      <c r="N31" s="3">
        <v>178</v>
      </c>
      <c r="O31" s="3">
        <v>163</v>
      </c>
      <c r="P31" s="3">
        <v>172</v>
      </c>
      <c r="R31" s="3">
        <v>178</v>
      </c>
      <c r="T31" s="3">
        <f>SUMPRODUCT(D43:P43,$D$149:$P$149)</f>
        <v>201.74186184379124</v>
      </c>
      <c r="U31" s="3">
        <f>SUMPRODUCT(D43:P43,$D$150:$P$150)</f>
        <v>201.74124657792711</v>
      </c>
      <c r="X31" s="2">
        <v>18780</v>
      </c>
      <c r="Y31" s="3">
        <v>178</v>
      </c>
      <c r="Z31" s="3">
        <f t="shared" si="8"/>
        <v>181.37761349427586</v>
      </c>
      <c r="AA31" s="3"/>
    </row>
    <row r="32" spans="1:31" x14ac:dyDescent="0.3">
      <c r="A32" s="2">
        <v>18810</v>
      </c>
      <c r="B32" s="3">
        <v>199</v>
      </c>
      <c r="D32" s="3">
        <v>1</v>
      </c>
      <c r="E32" s="3">
        <v>170</v>
      </c>
      <c r="F32" s="3">
        <v>170</v>
      </c>
      <c r="G32" s="3">
        <v>158</v>
      </c>
      <c r="H32" s="3">
        <v>133</v>
      </c>
      <c r="I32" s="3">
        <v>114</v>
      </c>
      <c r="J32" s="3">
        <v>140</v>
      </c>
      <c r="K32" s="3">
        <v>145</v>
      </c>
      <c r="L32" s="3">
        <v>150</v>
      </c>
      <c r="M32" s="3">
        <v>178</v>
      </c>
      <c r="N32" s="3">
        <v>163</v>
      </c>
      <c r="O32" s="3">
        <v>172</v>
      </c>
      <c r="P32" s="3">
        <v>178</v>
      </c>
      <c r="R32" s="3">
        <v>199</v>
      </c>
      <c r="T32" s="3">
        <f>SUMPRODUCT(D44:P44,$D$149:$P$149)</f>
        <v>234.84338236278131</v>
      </c>
      <c r="U32" s="3">
        <f>SUMPRODUCT(D44:P44,$D$150:$P$150)</f>
        <v>234.84366158382596</v>
      </c>
      <c r="X32" s="2">
        <v>18810</v>
      </c>
      <c r="Y32" s="3">
        <v>199</v>
      </c>
      <c r="Z32" s="3">
        <f t="shared" si="8"/>
        <v>191.09281021978026</v>
      </c>
      <c r="AA32" s="3"/>
    </row>
    <row r="33" spans="1:27" x14ac:dyDescent="0.3">
      <c r="A33" s="2">
        <v>18841</v>
      </c>
      <c r="B33" s="3">
        <v>199</v>
      </c>
      <c r="D33" s="3">
        <v>1</v>
      </c>
      <c r="E33" s="3">
        <v>170</v>
      </c>
      <c r="F33" s="3">
        <v>158</v>
      </c>
      <c r="G33" s="3">
        <v>133</v>
      </c>
      <c r="H33" s="3">
        <v>114</v>
      </c>
      <c r="I33" s="3">
        <v>140</v>
      </c>
      <c r="J33" s="3">
        <v>145</v>
      </c>
      <c r="K33" s="3">
        <v>150</v>
      </c>
      <c r="L33" s="3">
        <v>178</v>
      </c>
      <c r="M33" s="3">
        <v>163</v>
      </c>
      <c r="N33" s="3">
        <v>172</v>
      </c>
      <c r="O33" s="3">
        <v>178</v>
      </c>
      <c r="P33" s="3">
        <v>199</v>
      </c>
      <c r="R33" s="3">
        <v>199</v>
      </c>
      <c r="T33" s="3">
        <f>SUMPRODUCT(D45:P45,$D$149:$P$149)</f>
        <v>224.33512610546381</v>
      </c>
      <c r="U33" s="3">
        <f>SUMPRODUCT(D45:P45,$D$150:$P$150)</f>
        <v>224.33498074363996</v>
      </c>
      <c r="X33" s="2">
        <v>18841</v>
      </c>
      <c r="Y33" s="3">
        <v>199</v>
      </c>
      <c r="Z33" s="3">
        <f t="shared" si="8"/>
        <v>203.49486840637121</v>
      </c>
      <c r="AA33" s="3"/>
    </row>
    <row r="34" spans="1:27" x14ac:dyDescent="0.3">
      <c r="A34" s="2">
        <v>18872</v>
      </c>
      <c r="B34" s="3">
        <v>184</v>
      </c>
      <c r="D34" s="3">
        <v>1</v>
      </c>
      <c r="E34" s="3">
        <v>158</v>
      </c>
      <c r="F34" s="3">
        <v>133</v>
      </c>
      <c r="G34" s="3">
        <v>114</v>
      </c>
      <c r="H34" s="3">
        <v>140</v>
      </c>
      <c r="I34" s="3">
        <v>145</v>
      </c>
      <c r="J34" s="3">
        <v>150</v>
      </c>
      <c r="K34" s="3">
        <v>178</v>
      </c>
      <c r="L34" s="3">
        <v>163</v>
      </c>
      <c r="M34" s="3">
        <v>172</v>
      </c>
      <c r="N34" s="3">
        <v>178</v>
      </c>
      <c r="O34" s="3">
        <v>199</v>
      </c>
      <c r="P34" s="3">
        <v>199</v>
      </c>
      <c r="R34" s="3">
        <v>184</v>
      </c>
      <c r="T34" s="3">
        <f>SUMPRODUCT(D46:P46,$D$149:$P$149)</f>
        <v>223.86124172225237</v>
      </c>
      <c r="U34" s="3">
        <f>SUMPRODUCT(D46:P46,$D$150:$P$150)</f>
        <v>223.86182122451407</v>
      </c>
      <c r="X34" s="2">
        <v>18872</v>
      </c>
      <c r="Y34" s="3">
        <v>184</v>
      </c>
      <c r="Z34" s="3">
        <f t="shared" si="8"/>
        <v>180.1153665483202</v>
      </c>
      <c r="AA34" s="3"/>
    </row>
    <row r="35" spans="1:27" x14ac:dyDescent="0.3">
      <c r="A35" s="2">
        <v>18902</v>
      </c>
      <c r="B35" s="3">
        <v>162</v>
      </c>
      <c r="D35" s="3">
        <v>1</v>
      </c>
      <c r="E35" s="3">
        <v>133</v>
      </c>
      <c r="F35" s="3">
        <v>114</v>
      </c>
      <c r="G35" s="3">
        <v>140</v>
      </c>
      <c r="H35" s="3">
        <v>145</v>
      </c>
      <c r="I35" s="3">
        <v>150</v>
      </c>
      <c r="J35" s="3">
        <v>178</v>
      </c>
      <c r="K35" s="3">
        <v>163</v>
      </c>
      <c r="L35" s="3">
        <v>172</v>
      </c>
      <c r="M35" s="3">
        <v>178</v>
      </c>
      <c r="N35" s="3">
        <v>199</v>
      </c>
      <c r="O35" s="3">
        <v>199</v>
      </c>
      <c r="P35" s="3">
        <v>184</v>
      </c>
      <c r="R35" s="3">
        <v>162</v>
      </c>
      <c r="T35" s="3">
        <f>SUMPRODUCT(D47:P47,$D$149:$P$149)</f>
        <v>177.54299529570946</v>
      </c>
      <c r="U35" s="3">
        <f>SUMPRODUCT(D47:P47,$D$150:$P$150)</f>
        <v>177.54183191473822</v>
      </c>
      <c r="X35" s="2">
        <v>18902</v>
      </c>
      <c r="Y35" s="3">
        <v>162</v>
      </c>
      <c r="Z35" s="3">
        <f t="shared" si="8"/>
        <v>162.35155626832687</v>
      </c>
      <c r="AA35" s="3"/>
    </row>
    <row r="36" spans="1:27" x14ac:dyDescent="0.3">
      <c r="A36" s="2">
        <v>18933</v>
      </c>
      <c r="B36" s="3">
        <v>146</v>
      </c>
      <c r="D36" s="3">
        <v>1</v>
      </c>
      <c r="E36" s="3">
        <v>114</v>
      </c>
      <c r="F36" s="3">
        <v>140</v>
      </c>
      <c r="G36" s="3">
        <v>145</v>
      </c>
      <c r="H36" s="3">
        <v>150</v>
      </c>
      <c r="I36" s="3">
        <v>178</v>
      </c>
      <c r="J36" s="3">
        <v>163</v>
      </c>
      <c r="K36" s="3">
        <v>172</v>
      </c>
      <c r="L36" s="3">
        <v>178</v>
      </c>
      <c r="M36" s="3">
        <v>199</v>
      </c>
      <c r="N36" s="3">
        <v>199</v>
      </c>
      <c r="O36" s="3">
        <v>184</v>
      </c>
      <c r="P36" s="3">
        <v>162</v>
      </c>
      <c r="R36" s="3">
        <v>146</v>
      </c>
      <c r="T36" s="3">
        <f>SUMPRODUCT(D48:P48,$D$149:$P$149)</f>
        <v>183.54595205386866</v>
      </c>
      <c r="U36" s="3">
        <f>SUMPRODUCT(D48:P48,$D$150:$P$150)</f>
        <v>183.54580308997731</v>
      </c>
      <c r="X36" s="2">
        <v>18933</v>
      </c>
      <c r="Y36" s="3">
        <v>146</v>
      </c>
      <c r="Z36" s="3">
        <f t="shared" si="8"/>
        <v>135.83030802195861</v>
      </c>
      <c r="AA36" s="3"/>
    </row>
    <row r="37" spans="1:27" x14ac:dyDescent="0.3">
      <c r="A37" s="2">
        <v>18963</v>
      </c>
      <c r="B37" s="3">
        <v>166</v>
      </c>
      <c r="D37" s="3">
        <v>1</v>
      </c>
      <c r="E37" s="3">
        <v>140</v>
      </c>
      <c r="F37" s="3">
        <v>145</v>
      </c>
      <c r="G37" s="3">
        <v>150</v>
      </c>
      <c r="H37" s="3">
        <v>178</v>
      </c>
      <c r="I37" s="3">
        <v>163</v>
      </c>
      <c r="J37" s="3">
        <v>172</v>
      </c>
      <c r="K37" s="3">
        <v>178</v>
      </c>
      <c r="L37" s="3">
        <v>199</v>
      </c>
      <c r="M37" s="3">
        <v>199</v>
      </c>
      <c r="N37" s="3">
        <v>184</v>
      </c>
      <c r="O37" s="3">
        <v>162</v>
      </c>
      <c r="P37" s="3">
        <v>146</v>
      </c>
      <c r="R37" s="3">
        <v>166</v>
      </c>
      <c r="T37" s="3">
        <f>SUMPRODUCT(D49:P49,$D$149:$P$149)</f>
        <v>178.05992095150359</v>
      </c>
      <c r="U37" s="3">
        <f>SUMPRODUCT(D49:P49,$D$150:$P$150)</f>
        <v>178.0590179500154</v>
      </c>
      <c r="X37" s="2">
        <v>18963</v>
      </c>
      <c r="Y37" s="3">
        <v>166</v>
      </c>
      <c r="Z37" s="3">
        <f t="shared" si="8"/>
        <v>167.4244833600994</v>
      </c>
      <c r="AA37" s="3"/>
    </row>
    <row r="38" spans="1:27" x14ac:dyDescent="0.3">
      <c r="A38" s="2">
        <v>18994</v>
      </c>
      <c r="B38" s="3">
        <v>171</v>
      </c>
      <c r="D38" s="3">
        <v>1</v>
      </c>
      <c r="E38" s="3">
        <v>145</v>
      </c>
      <c r="F38" s="3">
        <v>150</v>
      </c>
      <c r="G38" s="3">
        <v>178</v>
      </c>
      <c r="H38" s="3">
        <v>163</v>
      </c>
      <c r="I38" s="3">
        <v>172</v>
      </c>
      <c r="J38" s="3">
        <v>178</v>
      </c>
      <c r="K38" s="3">
        <v>199</v>
      </c>
      <c r="L38" s="3">
        <v>199</v>
      </c>
      <c r="M38" s="3">
        <v>184</v>
      </c>
      <c r="N38" s="3">
        <v>162</v>
      </c>
      <c r="O38" s="3">
        <v>146</v>
      </c>
      <c r="P38" s="3">
        <v>166</v>
      </c>
      <c r="R38" s="3">
        <v>171</v>
      </c>
      <c r="T38" s="3">
        <f>SUMPRODUCT(D50:P50,$D$149:$P$149)</f>
        <v>208.30273886408241</v>
      </c>
      <c r="U38" s="3">
        <f>SUMPRODUCT(D50:P50,$D$150:$P$150)</f>
        <v>208.30324681864036</v>
      </c>
      <c r="X38" s="2">
        <v>18994</v>
      </c>
      <c r="Y38" s="3">
        <v>171</v>
      </c>
      <c r="Z38" s="3">
        <f t="shared" si="8"/>
        <v>162.23491893809722</v>
      </c>
      <c r="AA38" s="3"/>
    </row>
    <row r="39" spans="1:27" x14ac:dyDescent="0.3">
      <c r="A39" s="2">
        <v>19025</v>
      </c>
      <c r="B39" s="3">
        <v>180</v>
      </c>
      <c r="D39" s="3">
        <v>1</v>
      </c>
      <c r="E39" s="3">
        <v>150</v>
      </c>
      <c r="F39" s="3">
        <v>178</v>
      </c>
      <c r="G39" s="3">
        <v>163</v>
      </c>
      <c r="H39" s="3">
        <v>172</v>
      </c>
      <c r="I39" s="3">
        <v>178</v>
      </c>
      <c r="J39" s="3">
        <v>199</v>
      </c>
      <c r="K39" s="3">
        <v>199</v>
      </c>
      <c r="L39" s="3">
        <v>184</v>
      </c>
      <c r="M39" s="3">
        <v>162</v>
      </c>
      <c r="N39" s="3">
        <v>146</v>
      </c>
      <c r="O39" s="3">
        <v>166</v>
      </c>
      <c r="P39" s="3">
        <v>171</v>
      </c>
      <c r="R39" s="3">
        <v>180</v>
      </c>
      <c r="T39" s="3">
        <f>SUMPRODUCT(D51:P51,$D$149:$P$149)</f>
        <v>193.34216527397163</v>
      </c>
      <c r="U39" s="3">
        <f>SUMPRODUCT(D51:P51,$D$150:$P$150)</f>
        <v>193.3415284039485</v>
      </c>
      <c r="X39" s="2">
        <v>19025</v>
      </c>
      <c r="Y39" s="3">
        <v>180</v>
      </c>
      <c r="Z39" s="3">
        <f t="shared" si="8"/>
        <v>183.31964511220332</v>
      </c>
      <c r="AA39" s="3"/>
    </row>
    <row r="40" spans="1:27" x14ac:dyDescent="0.3">
      <c r="A40" s="2">
        <v>19054</v>
      </c>
      <c r="B40" s="3">
        <v>193</v>
      </c>
      <c r="D40" s="3">
        <v>1</v>
      </c>
      <c r="E40" s="3">
        <v>178</v>
      </c>
      <c r="F40" s="3">
        <v>163</v>
      </c>
      <c r="G40" s="3">
        <v>172</v>
      </c>
      <c r="H40" s="3">
        <v>178</v>
      </c>
      <c r="I40" s="3">
        <v>199</v>
      </c>
      <c r="J40" s="3">
        <v>199</v>
      </c>
      <c r="K40" s="3">
        <v>184</v>
      </c>
      <c r="L40" s="3">
        <v>162</v>
      </c>
      <c r="M40" s="3">
        <v>146</v>
      </c>
      <c r="N40" s="3">
        <v>166</v>
      </c>
      <c r="O40" s="3">
        <v>171</v>
      </c>
      <c r="P40" s="3">
        <v>180</v>
      </c>
      <c r="R40" s="3">
        <v>193</v>
      </c>
      <c r="T40" s="3">
        <f>SUMPRODUCT(D52:P52,$D$149:$P$149)</f>
        <v>221.43001205342705</v>
      </c>
      <c r="U40" s="3">
        <f>SUMPRODUCT(D52:P52,$D$150:$P$150)</f>
        <v>221.4296264335257</v>
      </c>
      <c r="X40" s="2">
        <v>19054</v>
      </c>
      <c r="Y40" s="3">
        <v>193</v>
      </c>
      <c r="Z40" s="3">
        <f t="shared" si="8"/>
        <v>192.17341114545724</v>
      </c>
      <c r="AA40" s="3"/>
    </row>
    <row r="41" spans="1:27" x14ac:dyDescent="0.3">
      <c r="A41" s="2">
        <v>19085</v>
      </c>
      <c r="B41" s="3">
        <v>181</v>
      </c>
      <c r="D41" s="3">
        <v>1</v>
      </c>
      <c r="E41" s="3">
        <v>163</v>
      </c>
      <c r="F41" s="3">
        <v>172</v>
      </c>
      <c r="G41" s="3">
        <v>178</v>
      </c>
      <c r="H41" s="3">
        <v>199</v>
      </c>
      <c r="I41" s="3">
        <v>199</v>
      </c>
      <c r="J41" s="3">
        <v>184</v>
      </c>
      <c r="K41" s="3">
        <v>162</v>
      </c>
      <c r="L41" s="3">
        <v>146</v>
      </c>
      <c r="M41" s="3">
        <v>166</v>
      </c>
      <c r="N41" s="3">
        <v>171</v>
      </c>
      <c r="O41" s="3">
        <v>180</v>
      </c>
      <c r="P41" s="3">
        <v>193</v>
      </c>
      <c r="R41" s="3">
        <v>181</v>
      </c>
      <c r="T41" s="3">
        <f>SUMPRODUCT(D53:P53,$D$149:$P$149)</f>
        <v>208.67792257668162</v>
      </c>
      <c r="U41" s="3">
        <f>SUMPRODUCT(D53:P53,$D$150:$P$150)</f>
        <v>208.67854764822945</v>
      </c>
      <c r="X41" s="2">
        <v>19085</v>
      </c>
      <c r="Y41" s="3">
        <v>181</v>
      </c>
      <c r="Z41" s="3">
        <f t="shared" si="8"/>
        <v>191.40341608987544</v>
      </c>
      <c r="AA41" s="3"/>
    </row>
    <row r="42" spans="1:27" x14ac:dyDescent="0.3">
      <c r="A42" s="2">
        <v>19115</v>
      </c>
      <c r="B42" s="3">
        <v>183</v>
      </c>
      <c r="D42" s="3">
        <v>1</v>
      </c>
      <c r="E42" s="3">
        <v>172</v>
      </c>
      <c r="F42" s="3">
        <v>178</v>
      </c>
      <c r="G42" s="3">
        <v>199</v>
      </c>
      <c r="H42" s="3">
        <v>199</v>
      </c>
      <c r="I42" s="3">
        <v>184</v>
      </c>
      <c r="J42" s="3">
        <v>162</v>
      </c>
      <c r="K42" s="3">
        <v>146</v>
      </c>
      <c r="L42" s="3">
        <v>166</v>
      </c>
      <c r="M42" s="3">
        <v>171</v>
      </c>
      <c r="N42" s="3">
        <v>180</v>
      </c>
      <c r="O42" s="3">
        <v>193</v>
      </c>
      <c r="P42" s="3">
        <v>181</v>
      </c>
      <c r="R42" s="3">
        <v>183</v>
      </c>
      <c r="T42" s="3">
        <f>SUMPRODUCT(D54:P54,$D$149:$P$149)</f>
        <v>230.26875696366602</v>
      </c>
      <c r="U42" s="3">
        <f>SUMPRODUCT(D54:P54,$D$150:$P$150)</f>
        <v>230.26970514900205</v>
      </c>
      <c r="X42" s="2">
        <v>19115</v>
      </c>
      <c r="Y42" s="3">
        <v>183</v>
      </c>
      <c r="Z42" s="3">
        <f t="shared" si="8"/>
        <v>191.15000881309817</v>
      </c>
      <c r="AA42" s="3"/>
    </row>
    <row r="43" spans="1:27" x14ac:dyDescent="0.3">
      <c r="A43" s="2">
        <v>19146</v>
      </c>
      <c r="B43" s="3">
        <v>218</v>
      </c>
      <c r="D43" s="3">
        <v>1</v>
      </c>
      <c r="E43" s="3">
        <v>178</v>
      </c>
      <c r="F43" s="3">
        <v>199</v>
      </c>
      <c r="G43" s="3">
        <v>199</v>
      </c>
      <c r="H43" s="3">
        <v>184</v>
      </c>
      <c r="I43" s="3">
        <v>162</v>
      </c>
      <c r="J43" s="3">
        <v>146</v>
      </c>
      <c r="K43" s="3">
        <v>166</v>
      </c>
      <c r="L43" s="3">
        <v>171</v>
      </c>
      <c r="M43" s="3">
        <v>180</v>
      </c>
      <c r="N43" s="3">
        <v>193</v>
      </c>
      <c r="O43" s="3">
        <v>181</v>
      </c>
      <c r="P43" s="3">
        <v>183</v>
      </c>
      <c r="R43" s="3">
        <v>218</v>
      </c>
      <c r="T43" s="3">
        <f>SUMPRODUCT(D55:P55,$D$149:$P$149)</f>
        <v>237.3490420001101</v>
      </c>
      <c r="U43" s="3">
        <f>SUMPRODUCT(D55:P55,$D$150:$P$150)</f>
        <v>237.34816112519374</v>
      </c>
      <c r="X43" s="2">
        <v>19146</v>
      </c>
      <c r="Y43" s="3">
        <v>218</v>
      </c>
      <c r="Z43" s="3">
        <f t="shared" si="8"/>
        <v>201.74124657792711</v>
      </c>
      <c r="AA43" s="3"/>
    </row>
    <row r="44" spans="1:27" x14ac:dyDescent="0.3">
      <c r="A44" s="2">
        <v>19176</v>
      </c>
      <c r="B44" s="3">
        <v>230</v>
      </c>
      <c r="D44" s="3">
        <v>1</v>
      </c>
      <c r="E44" s="3">
        <v>199</v>
      </c>
      <c r="F44" s="3">
        <v>199</v>
      </c>
      <c r="G44" s="3">
        <v>184</v>
      </c>
      <c r="H44" s="3">
        <v>162</v>
      </c>
      <c r="I44" s="3">
        <v>146</v>
      </c>
      <c r="J44" s="3">
        <v>166</v>
      </c>
      <c r="K44" s="3">
        <v>171</v>
      </c>
      <c r="L44" s="3">
        <v>180</v>
      </c>
      <c r="M44" s="3">
        <v>193</v>
      </c>
      <c r="N44" s="3">
        <v>181</v>
      </c>
      <c r="O44" s="3">
        <v>183</v>
      </c>
      <c r="P44" s="3">
        <v>218</v>
      </c>
      <c r="R44" s="3">
        <v>230</v>
      </c>
      <c r="T44" s="3">
        <f>SUMPRODUCT(D56:P56,$D$149:$P$149)</f>
        <v>266.28505775795765</v>
      </c>
      <c r="U44" s="3">
        <f>SUMPRODUCT(D56:P56,$D$150:$P$150)</f>
        <v>266.28477598754023</v>
      </c>
      <c r="X44" s="2">
        <v>19176</v>
      </c>
      <c r="Y44" s="3">
        <v>230</v>
      </c>
      <c r="Z44" s="3">
        <f t="shared" si="8"/>
        <v>234.84366158382596</v>
      </c>
      <c r="AA44" s="3"/>
    </row>
    <row r="45" spans="1:27" x14ac:dyDescent="0.3">
      <c r="A45" s="2">
        <v>19207</v>
      </c>
      <c r="B45" s="3">
        <v>242</v>
      </c>
      <c r="D45" s="3">
        <v>1</v>
      </c>
      <c r="E45" s="3">
        <v>199</v>
      </c>
      <c r="F45" s="3">
        <v>184</v>
      </c>
      <c r="G45" s="3">
        <v>162</v>
      </c>
      <c r="H45" s="3">
        <v>146</v>
      </c>
      <c r="I45" s="3">
        <v>166</v>
      </c>
      <c r="J45" s="3">
        <v>171</v>
      </c>
      <c r="K45" s="3">
        <v>180</v>
      </c>
      <c r="L45" s="3">
        <v>193</v>
      </c>
      <c r="M45" s="3">
        <v>181</v>
      </c>
      <c r="N45" s="3">
        <v>183</v>
      </c>
      <c r="O45" s="3">
        <v>218</v>
      </c>
      <c r="P45" s="3">
        <v>230</v>
      </c>
      <c r="R45" s="3">
        <v>242</v>
      </c>
      <c r="T45" s="3">
        <f>SUMPRODUCT(D57:P57,$D$149:$P$149)</f>
        <v>268.43129306393672</v>
      </c>
      <c r="U45" s="3">
        <f>SUMPRODUCT(D57:P57,$D$150:$P$150)</f>
        <v>268.43115745127869</v>
      </c>
      <c r="X45" s="2">
        <v>19207</v>
      </c>
      <c r="Y45" s="3">
        <v>242</v>
      </c>
      <c r="Z45" s="3">
        <f t="shared" si="8"/>
        <v>224.33498074363996</v>
      </c>
      <c r="AA45" s="3"/>
    </row>
    <row r="46" spans="1:27" x14ac:dyDescent="0.3">
      <c r="A46" s="2">
        <v>19238</v>
      </c>
      <c r="B46" s="3">
        <v>209</v>
      </c>
      <c r="D46" s="3">
        <v>1</v>
      </c>
      <c r="E46" s="3">
        <v>184</v>
      </c>
      <c r="F46" s="3">
        <v>162</v>
      </c>
      <c r="G46" s="3">
        <v>146</v>
      </c>
      <c r="H46" s="3">
        <v>166</v>
      </c>
      <c r="I46" s="3">
        <v>171</v>
      </c>
      <c r="J46" s="3">
        <v>180</v>
      </c>
      <c r="K46" s="3">
        <v>193</v>
      </c>
      <c r="L46" s="3">
        <v>181</v>
      </c>
      <c r="M46" s="3">
        <v>183</v>
      </c>
      <c r="N46" s="3">
        <v>218</v>
      </c>
      <c r="O46" s="3">
        <v>230</v>
      </c>
      <c r="P46" s="3">
        <v>242</v>
      </c>
      <c r="R46" s="3">
        <v>209</v>
      </c>
      <c r="T46" s="3">
        <f>SUMPRODUCT(D58:P58,$D$149:$P$149)</f>
        <v>246.72727609960981</v>
      </c>
      <c r="U46" s="3">
        <f>SUMPRODUCT(D58:P58,$D$150:$P$150)</f>
        <v>246.72813933530944</v>
      </c>
      <c r="X46" s="2">
        <v>19238</v>
      </c>
      <c r="Y46" s="3">
        <v>209</v>
      </c>
      <c r="Z46" s="3">
        <f t="shared" si="8"/>
        <v>223.86182122451407</v>
      </c>
      <c r="AA46" s="3"/>
    </row>
    <row r="47" spans="1:27" x14ac:dyDescent="0.3">
      <c r="A47" s="2">
        <v>19268</v>
      </c>
      <c r="B47" s="3">
        <v>191</v>
      </c>
      <c r="D47" s="3">
        <v>1</v>
      </c>
      <c r="E47" s="3">
        <v>162</v>
      </c>
      <c r="F47" s="3">
        <v>146</v>
      </c>
      <c r="G47" s="3">
        <v>166</v>
      </c>
      <c r="H47" s="3">
        <v>171</v>
      </c>
      <c r="I47" s="3">
        <v>180</v>
      </c>
      <c r="J47" s="3">
        <v>193</v>
      </c>
      <c r="K47" s="3">
        <v>181</v>
      </c>
      <c r="L47" s="3">
        <v>183</v>
      </c>
      <c r="M47" s="3">
        <v>218</v>
      </c>
      <c r="N47" s="3">
        <v>230</v>
      </c>
      <c r="O47" s="3">
        <v>242</v>
      </c>
      <c r="P47" s="3">
        <v>209</v>
      </c>
      <c r="R47" s="3">
        <v>191</v>
      </c>
      <c r="T47" s="3">
        <f>SUMPRODUCT(D59:P59,$D$149:$P$149)</f>
        <v>213.05850586204633</v>
      </c>
      <c r="U47" s="3">
        <f>SUMPRODUCT(D59:P59,$D$150:$P$150)</f>
        <v>213.05762915367114</v>
      </c>
      <c r="X47" s="2">
        <v>19268</v>
      </c>
      <c r="Y47" s="3">
        <v>191</v>
      </c>
      <c r="Z47" s="3">
        <f t="shared" si="8"/>
        <v>177.54183191473822</v>
      </c>
      <c r="AA47" s="3"/>
    </row>
    <row r="48" spans="1:27" x14ac:dyDescent="0.3">
      <c r="A48" s="2">
        <v>19299</v>
      </c>
      <c r="B48" s="3">
        <v>172</v>
      </c>
      <c r="D48" s="3">
        <v>1</v>
      </c>
      <c r="E48" s="3">
        <v>146</v>
      </c>
      <c r="F48" s="3">
        <v>166</v>
      </c>
      <c r="G48" s="3">
        <v>171</v>
      </c>
      <c r="H48" s="3">
        <v>180</v>
      </c>
      <c r="I48" s="3">
        <v>193</v>
      </c>
      <c r="J48" s="3">
        <v>181</v>
      </c>
      <c r="K48" s="3">
        <v>183</v>
      </c>
      <c r="L48" s="3">
        <v>218</v>
      </c>
      <c r="M48" s="3">
        <v>230</v>
      </c>
      <c r="N48" s="3">
        <v>242</v>
      </c>
      <c r="O48" s="3">
        <v>209</v>
      </c>
      <c r="P48" s="3">
        <v>191</v>
      </c>
      <c r="R48" s="3">
        <v>172</v>
      </c>
      <c r="T48" s="3">
        <f>SUMPRODUCT(D60:P60,$D$149:$P$149)</f>
        <v>198.7570105898275</v>
      </c>
      <c r="U48" s="3">
        <f>SUMPRODUCT(D60:P60,$D$150:$P$150)</f>
        <v>198.75612907260069</v>
      </c>
      <c r="X48" s="2">
        <v>19299</v>
      </c>
      <c r="Y48" s="3">
        <v>172</v>
      </c>
      <c r="Z48" s="3">
        <f t="shared" si="8"/>
        <v>183.54580308997731</v>
      </c>
      <c r="AA48" s="3"/>
    </row>
    <row r="49" spans="1:27" x14ac:dyDescent="0.3">
      <c r="A49" s="2">
        <v>19329</v>
      </c>
      <c r="B49" s="3">
        <v>194</v>
      </c>
      <c r="D49" s="3">
        <v>1</v>
      </c>
      <c r="E49" s="3">
        <v>166</v>
      </c>
      <c r="F49" s="3">
        <v>171</v>
      </c>
      <c r="G49" s="3">
        <v>180</v>
      </c>
      <c r="H49" s="3">
        <v>193</v>
      </c>
      <c r="I49" s="3">
        <v>181</v>
      </c>
      <c r="J49" s="3">
        <v>183</v>
      </c>
      <c r="K49" s="3">
        <v>218</v>
      </c>
      <c r="L49" s="3">
        <v>230</v>
      </c>
      <c r="M49" s="3">
        <v>242</v>
      </c>
      <c r="N49" s="3">
        <v>209</v>
      </c>
      <c r="O49" s="3">
        <v>191</v>
      </c>
      <c r="P49" s="3">
        <v>172</v>
      </c>
      <c r="R49" s="3">
        <v>194</v>
      </c>
      <c r="T49" s="3">
        <f>SUMPRODUCT(D61:P61,$D$149:$P$149)</f>
        <v>206.55538474268349</v>
      </c>
      <c r="U49" s="3">
        <f>SUMPRODUCT(D61:P61,$D$150:$P$150)</f>
        <v>206.55423822084572</v>
      </c>
      <c r="X49" s="2">
        <v>19329</v>
      </c>
      <c r="Y49" s="3">
        <v>194</v>
      </c>
      <c r="Z49" s="3">
        <f t="shared" si="8"/>
        <v>178.0590179500154</v>
      </c>
      <c r="AA49" s="3"/>
    </row>
    <row r="50" spans="1:27" x14ac:dyDescent="0.3">
      <c r="A50" s="2">
        <v>19360</v>
      </c>
      <c r="B50" s="3">
        <v>196</v>
      </c>
      <c r="D50" s="3">
        <v>1</v>
      </c>
      <c r="E50" s="3">
        <v>171</v>
      </c>
      <c r="F50" s="3">
        <v>180</v>
      </c>
      <c r="G50" s="3">
        <v>193</v>
      </c>
      <c r="H50" s="3">
        <v>181</v>
      </c>
      <c r="I50" s="3">
        <v>183</v>
      </c>
      <c r="J50" s="3">
        <v>218</v>
      </c>
      <c r="K50" s="3">
        <v>230</v>
      </c>
      <c r="L50" s="3">
        <v>242</v>
      </c>
      <c r="M50" s="3">
        <v>209</v>
      </c>
      <c r="N50" s="3">
        <v>191</v>
      </c>
      <c r="O50" s="3">
        <v>172</v>
      </c>
      <c r="P50" s="3">
        <v>194</v>
      </c>
      <c r="R50" s="3">
        <v>196</v>
      </c>
      <c r="T50" s="3">
        <f>SUMPRODUCT(D62:P62,$D$149:$P$149)</f>
        <v>219.00278153874791</v>
      </c>
      <c r="U50" s="3">
        <f>SUMPRODUCT(D62:P62,$D$150:$P$150)</f>
        <v>219.00294929205648</v>
      </c>
      <c r="X50" s="2">
        <v>19360</v>
      </c>
      <c r="Y50" s="3">
        <v>196</v>
      </c>
      <c r="Z50" s="3">
        <f t="shared" si="8"/>
        <v>208.30324681864036</v>
      </c>
      <c r="AA50" s="3"/>
    </row>
    <row r="51" spans="1:27" x14ac:dyDescent="0.3">
      <c r="A51" s="2">
        <v>19391</v>
      </c>
      <c r="B51" s="3">
        <v>196</v>
      </c>
      <c r="D51" s="3">
        <v>1</v>
      </c>
      <c r="E51" s="3">
        <v>180</v>
      </c>
      <c r="F51" s="3">
        <v>193</v>
      </c>
      <c r="G51" s="3">
        <v>181</v>
      </c>
      <c r="H51" s="3">
        <v>183</v>
      </c>
      <c r="I51" s="3">
        <v>218</v>
      </c>
      <c r="J51" s="3">
        <v>230</v>
      </c>
      <c r="K51" s="3">
        <v>242</v>
      </c>
      <c r="L51" s="3">
        <v>209</v>
      </c>
      <c r="M51" s="3">
        <v>191</v>
      </c>
      <c r="N51" s="3">
        <v>172</v>
      </c>
      <c r="O51" s="3">
        <v>194</v>
      </c>
      <c r="P51" s="3">
        <v>196</v>
      </c>
      <c r="R51" s="3">
        <v>196</v>
      </c>
      <c r="T51" s="3">
        <f>SUMPRODUCT(D63:P63,$D$149:$P$149)</f>
        <v>215.79978686428518</v>
      </c>
      <c r="U51" s="3">
        <f>SUMPRODUCT(D63:P63,$D$150:$P$150)</f>
        <v>215.79944919446302</v>
      </c>
      <c r="X51" s="2">
        <v>19391</v>
      </c>
      <c r="Y51" s="3">
        <v>196</v>
      </c>
      <c r="Z51" s="3">
        <f t="shared" si="8"/>
        <v>193.3415284039485</v>
      </c>
      <c r="AA51" s="3"/>
    </row>
    <row r="52" spans="1:27" x14ac:dyDescent="0.3">
      <c r="A52" s="2">
        <v>19419</v>
      </c>
      <c r="B52" s="3">
        <v>236</v>
      </c>
      <c r="D52" s="3">
        <v>1</v>
      </c>
      <c r="E52" s="3">
        <v>193</v>
      </c>
      <c r="F52" s="3">
        <v>181</v>
      </c>
      <c r="G52" s="3">
        <v>183</v>
      </c>
      <c r="H52" s="3">
        <v>218</v>
      </c>
      <c r="I52" s="3">
        <v>230</v>
      </c>
      <c r="J52" s="3">
        <v>242</v>
      </c>
      <c r="K52" s="3">
        <v>209</v>
      </c>
      <c r="L52" s="3">
        <v>191</v>
      </c>
      <c r="M52" s="3">
        <v>172</v>
      </c>
      <c r="N52" s="3">
        <v>194</v>
      </c>
      <c r="O52" s="3">
        <v>196</v>
      </c>
      <c r="P52" s="3">
        <v>196</v>
      </c>
      <c r="R52" s="3">
        <v>236</v>
      </c>
      <c r="T52" s="3">
        <f>SUMPRODUCT(D64:P64,$D$149:$P$149)</f>
        <v>245.02032887616866</v>
      </c>
      <c r="U52" s="3">
        <f>SUMPRODUCT(D64:P64,$D$150:$P$150)</f>
        <v>245.01852734871835</v>
      </c>
      <c r="X52" s="2">
        <v>19419</v>
      </c>
      <c r="Y52" s="3">
        <v>236</v>
      </c>
      <c r="Z52" s="3">
        <f t="shared" si="8"/>
        <v>221.4296264335257</v>
      </c>
      <c r="AA52" s="3"/>
    </row>
    <row r="53" spans="1:27" x14ac:dyDescent="0.3">
      <c r="A53" s="2">
        <v>19450</v>
      </c>
      <c r="B53" s="3">
        <v>235</v>
      </c>
      <c r="D53" s="3">
        <v>1</v>
      </c>
      <c r="E53" s="3">
        <v>181</v>
      </c>
      <c r="F53" s="3">
        <v>183</v>
      </c>
      <c r="G53" s="3">
        <v>218</v>
      </c>
      <c r="H53" s="3">
        <v>230</v>
      </c>
      <c r="I53" s="3">
        <v>242</v>
      </c>
      <c r="J53" s="3">
        <v>209</v>
      </c>
      <c r="K53" s="3">
        <v>191</v>
      </c>
      <c r="L53" s="3">
        <v>172</v>
      </c>
      <c r="M53" s="3">
        <v>194</v>
      </c>
      <c r="N53" s="3">
        <v>196</v>
      </c>
      <c r="O53" s="3">
        <v>196</v>
      </c>
      <c r="P53" s="3">
        <v>236</v>
      </c>
      <c r="R53" s="3">
        <v>235</v>
      </c>
      <c r="T53" s="3">
        <f>SUMPRODUCT(D65:P65,$D$149:$P$149)</f>
        <v>254.74786107669377</v>
      </c>
      <c r="U53" s="3">
        <f>SUMPRODUCT(D65:P65,$D$150:$P$150)</f>
        <v>254.74777596309565</v>
      </c>
      <c r="X53" s="2">
        <v>19450</v>
      </c>
      <c r="Y53" s="3">
        <v>235</v>
      </c>
      <c r="Z53" s="3">
        <f t="shared" si="8"/>
        <v>208.67854764822945</v>
      </c>
      <c r="AA53" s="3"/>
    </row>
    <row r="54" spans="1:27" x14ac:dyDescent="0.3">
      <c r="A54" s="2">
        <v>19480</v>
      </c>
      <c r="B54" s="3">
        <v>229</v>
      </c>
      <c r="D54" s="3">
        <v>1</v>
      </c>
      <c r="E54" s="3">
        <v>183</v>
      </c>
      <c r="F54" s="3">
        <v>218</v>
      </c>
      <c r="G54" s="3">
        <v>230</v>
      </c>
      <c r="H54" s="3">
        <v>242</v>
      </c>
      <c r="I54" s="3">
        <v>209</v>
      </c>
      <c r="J54" s="3">
        <v>191</v>
      </c>
      <c r="K54" s="3">
        <v>172</v>
      </c>
      <c r="L54" s="3">
        <v>194</v>
      </c>
      <c r="M54" s="3">
        <v>196</v>
      </c>
      <c r="N54" s="3">
        <v>196</v>
      </c>
      <c r="O54" s="3">
        <v>236</v>
      </c>
      <c r="P54" s="3">
        <v>235</v>
      </c>
      <c r="R54" s="3">
        <v>229</v>
      </c>
      <c r="T54" s="3">
        <f>SUMPRODUCT(D66:P66,$D$149:$P$149)</f>
        <v>249.66402466453633</v>
      </c>
      <c r="U54" s="3">
        <f>SUMPRODUCT(D66:P66,$D$150:$P$150)</f>
        <v>249.66358404856447</v>
      </c>
      <c r="X54" s="2">
        <v>19480</v>
      </c>
      <c r="Y54" s="3">
        <v>229</v>
      </c>
      <c r="Z54" s="3">
        <f t="shared" si="8"/>
        <v>230.26970514900205</v>
      </c>
      <c r="AA54" s="3"/>
    </row>
    <row r="55" spans="1:27" x14ac:dyDescent="0.3">
      <c r="A55" s="2">
        <v>19511</v>
      </c>
      <c r="B55" s="3">
        <v>243</v>
      </c>
      <c r="D55" s="3">
        <v>1</v>
      </c>
      <c r="E55" s="3">
        <v>218</v>
      </c>
      <c r="F55" s="3">
        <v>230</v>
      </c>
      <c r="G55" s="3">
        <v>242</v>
      </c>
      <c r="H55" s="3">
        <v>209</v>
      </c>
      <c r="I55" s="3">
        <v>191</v>
      </c>
      <c r="J55" s="3">
        <v>172</v>
      </c>
      <c r="K55" s="3">
        <v>194</v>
      </c>
      <c r="L55" s="3">
        <v>196</v>
      </c>
      <c r="M55" s="3">
        <v>196</v>
      </c>
      <c r="N55" s="3">
        <v>236</v>
      </c>
      <c r="O55" s="3">
        <v>235</v>
      </c>
      <c r="P55" s="3">
        <v>229</v>
      </c>
      <c r="R55" s="3">
        <v>243</v>
      </c>
      <c r="T55" s="3">
        <f>SUMPRODUCT(D67:P67,$D$149:$P$149)</f>
        <v>266.45035805952762</v>
      </c>
      <c r="U55" s="3">
        <f>SUMPRODUCT(D67:P67,$D$150:$P$150)</f>
        <v>266.449696371274</v>
      </c>
      <c r="X55" s="2">
        <v>19511</v>
      </c>
      <c r="Y55" s="3">
        <v>243</v>
      </c>
      <c r="Z55" s="3">
        <f t="shared" si="8"/>
        <v>237.34816112519374</v>
      </c>
      <c r="AA55" s="3"/>
    </row>
    <row r="56" spans="1:27" x14ac:dyDescent="0.3">
      <c r="A56" s="2">
        <v>19541</v>
      </c>
      <c r="B56" s="3">
        <v>264</v>
      </c>
      <c r="D56" s="3">
        <v>1</v>
      </c>
      <c r="E56" s="3">
        <v>230</v>
      </c>
      <c r="F56" s="3">
        <v>242</v>
      </c>
      <c r="G56" s="3">
        <v>209</v>
      </c>
      <c r="H56" s="3">
        <v>191</v>
      </c>
      <c r="I56" s="3">
        <v>172</v>
      </c>
      <c r="J56" s="3">
        <v>194</v>
      </c>
      <c r="K56" s="3">
        <v>196</v>
      </c>
      <c r="L56" s="3">
        <v>196</v>
      </c>
      <c r="M56" s="3">
        <v>236</v>
      </c>
      <c r="N56" s="3">
        <v>235</v>
      </c>
      <c r="O56" s="3">
        <v>229</v>
      </c>
      <c r="P56" s="3">
        <v>243</v>
      </c>
      <c r="R56" s="3">
        <v>264</v>
      </c>
      <c r="T56" s="3">
        <f>SUMPRODUCT(D68:P68,$D$149:$P$149)</f>
        <v>294.83966779011223</v>
      </c>
      <c r="U56" s="3">
        <f>SUMPRODUCT(D68:P68,$D$150:$P$150)</f>
        <v>294.83934986008467</v>
      </c>
      <c r="X56" s="2">
        <v>19541</v>
      </c>
      <c r="Y56" s="3">
        <v>264</v>
      </c>
      <c r="Z56" s="3">
        <f t="shared" si="8"/>
        <v>266.28477598754023</v>
      </c>
      <c r="AA56" s="3"/>
    </row>
    <row r="57" spans="1:27" x14ac:dyDescent="0.3">
      <c r="A57" s="2">
        <v>19572</v>
      </c>
      <c r="B57" s="3">
        <v>272</v>
      </c>
      <c r="D57" s="3">
        <v>1</v>
      </c>
      <c r="E57" s="3">
        <v>242</v>
      </c>
      <c r="F57" s="3">
        <v>209</v>
      </c>
      <c r="G57" s="3">
        <v>191</v>
      </c>
      <c r="H57" s="3">
        <v>172</v>
      </c>
      <c r="I57" s="3">
        <v>194</v>
      </c>
      <c r="J57" s="3">
        <v>196</v>
      </c>
      <c r="K57" s="3">
        <v>196</v>
      </c>
      <c r="L57" s="3">
        <v>236</v>
      </c>
      <c r="M57" s="3">
        <v>235</v>
      </c>
      <c r="N57" s="3">
        <v>229</v>
      </c>
      <c r="O57" s="3">
        <v>243</v>
      </c>
      <c r="P57" s="3">
        <v>264</v>
      </c>
      <c r="R57" s="3">
        <v>272</v>
      </c>
      <c r="T57" s="3">
        <f>SUMPRODUCT(D69:P69,$D$149:$P$149)</f>
        <v>310.1991582286812</v>
      </c>
      <c r="U57" s="3">
        <f>SUMPRODUCT(D69:P69,$D$150:$P$150)</f>
        <v>310.19961867386195</v>
      </c>
      <c r="X57" s="2">
        <v>19572</v>
      </c>
      <c r="Y57" s="3">
        <v>272</v>
      </c>
      <c r="Z57" s="3">
        <f t="shared" si="8"/>
        <v>268.43115745127869</v>
      </c>
      <c r="AA57" s="3"/>
    </row>
    <row r="58" spans="1:27" x14ac:dyDescent="0.3">
      <c r="A58" s="2">
        <v>19603</v>
      </c>
      <c r="B58" s="3">
        <v>237</v>
      </c>
      <c r="D58" s="3">
        <v>1</v>
      </c>
      <c r="E58" s="3">
        <v>209</v>
      </c>
      <c r="F58" s="3">
        <v>191</v>
      </c>
      <c r="G58" s="3">
        <v>172</v>
      </c>
      <c r="H58" s="3">
        <v>194</v>
      </c>
      <c r="I58" s="3">
        <v>196</v>
      </c>
      <c r="J58" s="3">
        <v>196</v>
      </c>
      <c r="K58" s="3">
        <v>236</v>
      </c>
      <c r="L58" s="3">
        <v>235</v>
      </c>
      <c r="M58" s="3">
        <v>229</v>
      </c>
      <c r="N58" s="3">
        <v>243</v>
      </c>
      <c r="O58" s="3">
        <v>264</v>
      </c>
      <c r="P58" s="3">
        <v>272</v>
      </c>
      <c r="R58" s="3">
        <v>237</v>
      </c>
      <c r="T58" s="3">
        <f>SUMPRODUCT(D70:P70,$D$149:$P$149)</f>
        <v>263.47474086555695</v>
      </c>
      <c r="U58" s="3">
        <f>SUMPRODUCT(D70:P70,$D$150:$P$150)</f>
        <v>263.47486545391018</v>
      </c>
      <c r="X58" s="2">
        <v>19603</v>
      </c>
      <c r="Y58" s="3">
        <v>237</v>
      </c>
      <c r="Z58" s="3">
        <f t="shared" si="8"/>
        <v>246.72813933530944</v>
      </c>
      <c r="AA58" s="3"/>
    </row>
    <row r="59" spans="1:27" x14ac:dyDescent="0.3">
      <c r="A59" s="2">
        <v>19633</v>
      </c>
      <c r="B59" s="3">
        <v>211</v>
      </c>
      <c r="D59" s="3">
        <v>1</v>
      </c>
      <c r="E59" s="3">
        <v>191</v>
      </c>
      <c r="F59" s="3">
        <v>172</v>
      </c>
      <c r="G59" s="3">
        <v>194</v>
      </c>
      <c r="H59" s="3">
        <v>196</v>
      </c>
      <c r="I59" s="3">
        <v>196</v>
      </c>
      <c r="J59" s="3">
        <v>236</v>
      </c>
      <c r="K59" s="3">
        <v>235</v>
      </c>
      <c r="L59" s="3">
        <v>229</v>
      </c>
      <c r="M59" s="3">
        <v>243</v>
      </c>
      <c r="N59" s="3">
        <v>264</v>
      </c>
      <c r="O59" s="3">
        <v>272</v>
      </c>
      <c r="P59" s="3">
        <v>237</v>
      </c>
      <c r="R59" s="3">
        <v>211</v>
      </c>
      <c r="T59" s="3">
        <f>SUMPRODUCT(D71:P71,$D$149:$P$149)</f>
        <v>242.45881162185552</v>
      </c>
      <c r="U59" s="3">
        <f>SUMPRODUCT(D71:P71,$D$150:$P$150)</f>
        <v>242.45808766688367</v>
      </c>
      <c r="X59" s="2">
        <v>19633</v>
      </c>
      <c r="Y59" s="3">
        <v>211</v>
      </c>
      <c r="Z59" s="3">
        <f t="shared" si="8"/>
        <v>213.05762915367114</v>
      </c>
      <c r="AA59" s="3"/>
    </row>
    <row r="60" spans="1:27" x14ac:dyDescent="0.3">
      <c r="A60" s="2">
        <v>19664</v>
      </c>
      <c r="B60" s="3">
        <v>180</v>
      </c>
      <c r="D60" s="3">
        <v>1</v>
      </c>
      <c r="E60" s="3">
        <v>172</v>
      </c>
      <c r="F60" s="3">
        <v>194</v>
      </c>
      <c r="G60" s="3">
        <v>196</v>
      </c>
      <c r="H60" s="3">
        <v>196</v>
      </c>
      <c r="I60" s="3">
        <v>236</v>
      </c>
      <c r="J60" s="3">
        <v>235</v>
      </c>
      <c r="K60" s="3">
        <v>229</v>
      </c>
      <c r="L60" s="3">
        <v>243</v>
      </c>
      <c r="M60" s="3">
        <v>264</v>
      </c>
      <c r="N60" s="3">
        <v>272</v>
      </c>
      <c r="O60" s="3">
        <v>237</v>
      </c>
      <c r="P60" s="3">
        <v>211</v>
      </c>
      <c r="R60" s="3">
        <v>180</v>
      </c>
      <c r="T60" s="3">
        <f>SUMPRODUCT(D72:P72,$D$149:$P$149)</f>
        <v>200.09428670517198</v>
      </c>
      <c r="U60" s="3">
        <f>SUMPRODUCT(D72:P72,$D$150:$P$150)</f>
        <v>200.09317610060549</v>
      </c>
      <c r="X60" s="2">
        <v>19664</v>
      </c>
      <c r="Y60" s="3">
        <v>180</v>
      </c>
      <c r="Z60" s="3">
        <f t="shared" si="8"/>
        <v>198.75612907260069</v>
      </c>
      <c r="AA60" s="3"/>
    </row>
    <row r="61" spans="1:27" x14ac:dyDescent="0.3">
      <c r="A61" s="2">
        <v>19694</v>
      </c>
      <c r="B61" s="3">
        <v>201</v>
      </c>
      <c r="D61" s="3">
        <v>1</v>
      </c>
      <c r="E61" s="3">
        <v>194</v>
      </c>
      <c r="F61" s="3">
        <v>196</v>
      </c>
      <c r="G61" s="3">
        <v>196</v>
      </c>
      <c r="H61" s="3">
        <v>236</v>
      </c>
      <c r="I61" s="3">
        <v>235</v>
      </c>
      <c r="J61" s="3">
        <v>229</v>
      </c>
      <c r="K61" s="3">
        <v>243</v>
      </c>
      <c r="L61" s="3">
        <v>264</v>
      </c>
      <c r="M61" s="3">
        <v>272</v>
      </c>
      <c r="N61" s="3">
        <v>237</v>
      </c>
      <c r="O61" s="3">
        <v>211</v>
      </c>
      <c r="P61" s="3">
        <v>180</v>
      </c>
      <c r="R61" s="3">
        <v>201</v>
      </c>
      <c r="T61" s="3">
        <f>SUMPRODUCT(D73:P73,$D$149:$P$149)</f>
        <v>232.12550403218958</v>
      </c>
      <c r="U61" s="3">
        <f>SUMPRODUCT(D73:P73,$D$150:$P$150)</f>
        <v>232.12534858941657</v>
      </c>
      <c r="X61" s="2">
        <v>19694</v>
      </c>
      <c r="Y61" s="3">
        <v>201</v>
      </c>
      <c r="Z61" s="3">
        <f t="shared" si="8"/>
        <v>206.55423822084572</v>
      </c>
      <c r="AA61" s="3"/>
    </row>
    <row r="62" spans="1:27" x14ac:dyDescent="0.3">
      <c r="A62" s="2">
        <v>19725</v>
      </c>
      <c r="B62" s="3">
        <v>204</v>
      </c>
      <c r="D62" s="3">
        <v>1</v>
      </c>
      <c r="E62" s="3">
        <v>196</v>
      </c>
      <c r="F62" s="3">
        <v>196</v>
      </c>
      <c r="G62" s="3">
        <v>236</v>
      </c>
      <c r="H62" s="3">
        <v>235</v>
      </c>
      <c r="I62" s="3">
        <v>229</v>
      </c>
      <c r="J62" s="3">
        <v>243</v>
      </c>
      <c r="K62" s="3">
        <v>264</v>
      </c>
      <c r="L62" s="3">
        <v>272</v>
      </c>
      <c r="M62" s="3">
        <v>237</v>
      </c>
      <c r="N62" s="3">
        <v>211</v>
      </c>
      <c r="O62" s="3">
        <v>180</v>
      </c>
      <c r="P62" s="3">
        <v>201</v>
      </c>
      <c r="R62" s="3">
        <v>204</v>
      </c>
      <c r="T62" s="3">
        <f>SUMPRODUCT(D74:P74,$D$149:$P$149)</f>
        <v>221.4139597979584</v>
      </c>
      <c r="U62" s="3">
        <f>SUMPRODUCT(D74:P74,$D$150:$P$150)</f>
        <v>221.41421343976836</v>
      </c>
      <c r="X62" s="2">
        <v>19725</v>
      </c>
      <c r="Y62" s="3">
        <v>204</v>
      </c>
      <c r="Z62" s="3">
        <f t="shared" si="8"/>
        <v>219.00294929205648</v>
      </c>
      <c r="AA62" s="3"/>
    </row>
    <row r="63" spans="1:27" x14ac:dyDescent="0.3">
      <c r="A63" s="2">
        <v>19756</v>
      </c>
      <c r="B63" s="3">
        <v>188</v>
      </c>
      <c r="D63" s="3">
        <v>1</v>
      </c>
      <c r="E63" s="3">
        <v>196</v>
      </c>
      <c r="F63" s="3">
        <v>236</v>
      </c>
      <c r="G63" s="3">
        <v>235</v>
      </c>
      <c r="H63" s="3">
        <v>229</v>
      </c>
      <c r="I63" s="3">
        <v>243</v>
      </c>
      <c r="J63" s="3">
        <v>264</v>
      </c>
      <c r="K63" s="3">
        <v>272</v>
      </c>
      <c r="L63" s="3">
        <v>237</v>
      </c>
      <c r="M63" s="3">
        <v>211</v>
      </c>
      <c r="N63" s="3">
        <v>180</v>
      </c>
      <c r="O63" s="3">
        <v>201</v>
      </c>
      <c r="P63" s="3">
        <v>204</v>
      </c>
      <c r="R63" s="3">
        <v>188</v>
      </c>
      <c r="T63" s="3">
        <f>SUMPRODUCT(D75:P75,$D$149:$P$149)</f>
        <v>232.59296691015908</v>
      </c>
      <c r="U63" s="3">
        <f>SUMPRODUCT(D75:P75,$D$150:$P$150)</f>
        <v>232.59396146747613</v>
      </c>
      <c r="X63" s="2">
        <v>19756</v>
      </c>
      <c r="Y63" s="3">
        <v>188</v>
      </c>
      <c r="Z63" s="3">
        <f t="shared" si="8"/>
        <v>215.79944919446302</v>
      </c>
      <c r="AA63" s="3"/>
    </row>
    <row r="64" spans="1:27" x14ac:dyDescent="0.3">
      <c r="A64" s="2">
        <v>19784</v>
      </c>
      <c r="B64" s="3">
        <v>235</v>
      </c>
      <c r="D64" s="3">
        <v>1</v>
      </c>
      <c r="E64" s="3">
        <v>236</v>
      </c>
      <c r="F64" s="3">
        <v>235</v>
      </c>
      <c r="G64" s="3">
        <v>229</v>
      </c>
      <c r="H64" s="3">
        <v>243</v>
      </c>
      <c r="I64" s="3">
        <v>264</v>
      </c>
      <c r="J64" s="3">
        <v>272</v>
      </c>
      <c r="K64" s="3">
        <v>237</v>
      </c>
      <c r="L64" s="3">
        <v>211</v>
      </c>
      <c r="M64" s="3">
        <v>180</v>
      </c>
      <c r="N64" s="3">
        <v>201</v>
      </c>
      <c r="O64" s="3">
        <v>204</v>
      </c>
      <c r="P64" s="3">
        <v>188</v>
      </c>
      <c r="R64" s="3">
        <v>235</v>
      </c>
      <c r="T64" s="3">
        <f>SUMPRODUCT(D76:P76,$D$149:$P$149)</f>
        <v>250.00845511553027</v>
      </c>
      <c r="U64" s="3">
        <f>SUMPRODUCT(D76:P76,$D$150:$P$150)</f>
        <v>250.00752004254795</v>
      </c>
      <c r="X64" s="2">
        <v>19784</v>
      </c>
      <c r="Y64" s="3">
        <v>235</v>
      </c>
      <c r="Z64" s="3">
        <f t="shared" si="8"/>
        <v>245.01852734871835</v>
      </c>
      <c r="AA64" s="3"/>
    </row>
    <row r="65" spans="1:27" x14ac:dyDescent="0.3">
      <c r="A65" s="2">
        <v>19815</v>
      </c>
      <c r="B65" s="3">
        <v>227</v>
      </c>
      <c r="D65" s="3">
        <v>1</v>
      </c>
      <c r="E65" s="3">
        <v>235</v>
      </c>
      <c r="F65" s="3">
        <v>229</v>
      </c>
      <c r="G65" s="3">
        <v>243</v>
      </c>
      <c r="H65" s="3">
        <v>264</v>
      </c>
      <c r="I65" s="3">
        <v>272</v>
      </c>
      <c r="J65" s="3">
        <v>237</v>
      </c>
      <c r="K65" s="3">
        <v>211</v>
      </c>
      <c r="L65" s="3">
        <v>180</v>
      </c>
      <c r="M65" s="3">
        <v>201</v>
      </c>
      <c r="N65" s="3">
        <v>204</v>
      </c>
      <c r="O65" s="3">
        <v>188</v>
      </c>
      <c r="P65" s="3">
        <v>235</v>
      </c>
      <c r="R65" s="3">
        <v>227</v>
      </c>
      <c r="T65" s="3">
        <f>SUMPRODUCT(D77:P77,$D$149:$P$149)</f>
        <v>263.54624424881058</v>
      </c>
      <c r="U65" s="3">
        <f>SUMPRODUCT(D77:P77,$D$150:$P$150)</f>
        <v>263.54706974880492</v>
      </c>
      <c r="X65" s="2">
        <v>19815</v>
      </c>
      <c r="Y65" s="3">
        <v>227</v>
      </c>
      <c r="Z65" s="3">
        <f t="shared" si="8"/>
        <v>254.74777596309565</v>
      </c>
      <c r="AA65" s="3"/>
    </row>
    <row r="66" spans="1:27" x14ac:dyDescent="0.3">
      <c r="A66" s="2">
        <v>19845</v>
      </c>
      <c r="B66" s="3">
        <v>234</v>
      </c>
      <c r="D66" s="3">
        <v>1</v>
      </c>
      <c r="E66" s="3">
        <v>229</v>
      </c>
      <c r="F66" s="3">
        <v>243</v>
      </c>
      <c r="G66" s="3">
        <v>264</v>
      </c>
      <c r="H66" s="3">
        <v>272</v>
      </c>
      <c r="I66" s="3">
        <v>237</v>
      </c>
      <c r="J66" s="3">
        <v>211</v>
      </c>
      <c r="K66" s="3">
        <v>180</v>
      </c>
      <c r="L66" s="3">
        <v>201</v>
      </c>
      <c r="M66" s="3">
        <v>204</v>
      </c>
      <c r="N66" s="3">
        <v>188</v>
      </c>
      <c r="O66" s="3">
        <v>235</v>
      </c>
      <c r="P66" s="3">
        <v>227</v>
      </c>
      <c r="R66" s="3">
        <v>234</v>
      </c>
      <c r="T66" s="3">
        <f>SUMPRODUCT(D78:P78,$D$149:$P$149)</f>
        <v>266.63354471816353</v>
      </c>
      <c r="U66" s="3">
        <f>SUMPRODUCT(D78:P78,$D$150:$P$150)</f>
        <v>266.63387177282175</v>
      </c>
      <c r="X66" s="2">
        <v>19845</v>
      </c>
      <c r="Y66" s="3">
        <v>234</v>
      </c>
      <c r="Z66" s="3">
        <f t="shared" si="8"/>
        <v>249.66358404856447</v>
      </c>
      <c r="AA66" s="3"/>
    </row>
    <row r="67" spans="1:27" x14ac:dyDescent="0.3">
      <c r="A67" s="2">
        <v>19876</v>
      </c>
      <c r="B67" s="3">
        <v>264</v>
      </c>
      <c r="D67" s="3">
        <v>1</v>
      </c>
      <c r="E67" s="3">
        <v>243</v>
      </c>
      <c r="F67" s="3">
        <v>264</v>
      </c>
      <c r="G67" s="3">
        <v>272</v>
      </c>
      <c r="H67" s="3">
        <v>237</v>
      </c>
      <c r="I67" s="3">
        <v>211</v>
      </c>
      <c r="J67" s="3">
        <v>180</v>
      </c>
      <c r="K67" s="3">
        <v>201</v>
      </c>
      <c r="L67" s="3">
        <v>204</v>
      </c>
      <c r="M67" s="3">
        <v>188</v>
      </c>
      <c r="N67" s="3">
        <v>235</v>
      </c>
      <c r="O67" s="3">
        <v>227</v>
      </c>
      <c r="P67" s="3">
        <v>234</v>
      </c>
      <c r="R67" s="3">
        <v>264</v>
      </c>
      <c r="T67" s="3">
        <f>SUMPRODUCT(D79:P79,$D$149:$P$149)</f>
        <v>298.32309411906766</v>
      </c>
      <c r="U67" s="3">
        <f>SUMPRODUCT(D79:P79,$D$150:$P$150)</f>
        <v>298.32292032514795</v>
      </c>
      <c r="X67" s="2">
        <v>19876</v>
      </c>
      <c r="Y67" s="3">
        <v>264</v>
      </c>
      <c r="Z67" s="3">
        <f t="shared" si="8"/>
        <v>266.449696371274</v>
      </c>
      <c r="AA67" s="3"/>
    </row>
    <row r="68" spans="1:27" x14ac:dyDescent="0.3">
      <c r="A68" s="2">
        <v>19906</v>
      </c>
      <c r="B68" s="3">
        <v>302</v>
      </c>
      <c r="D68" s="3">
        <v>1</v>
      </c>
      <c r="E68" s="3">
        <v>264</v>
      </c>
      <c r="F68" s="3">
        <v>272</v>
      </c>
      <c r="G68" s="3">
        <v>237</v>
      </c>
      <c r="H68" s="3">
        <v>211</v>
      </c>
      <c r="I68" s="3">
        <v>180</v>
      </c>
      <c r="J68" s="3">
        <v>201</v>
      </c>
      <c r="K68" s="3">
        <v>204</v>
      </c>
      <c r="L68" s="3">
        <v>188</v>
      </c>
      <c r="M68" s="3">
        <v>235</v>
      </c>
      <c r="N68" s="3">
        <v>227</v>
      </c>
      <c r="O68" s="3">
        <v>234</v>
      </c>
      <c r="P68" s="3">
        <v>264</v>
      </c>
      <c r="R68" s="3">
        <v>302</v>
      </c>
      <c r="T68" s="3">
        <f>SUMPRODUCT(D80:P80,$D$149:$P$149)</f>
        <v>340.61372413472992</v>
      </c>
      <c r="U68" s="3">
        <f>SUMPRODUCT(D80:P80,$D$150:$P$150)</f>
        <v>340.61405561417359</v>
      </c>
      <c r="X68" s="2">
        <v>19906</v>
      </c>
      <c r="Y68" s="3">
        <v>302</v>
      </c>
      <c r="Z68" s="3">
        <f t="shared" si="8"/>
        <v>294.83934986008467</v>
      </c>
      <c r="AA68" s="3"/>
    </row>
    <row r="69" spans="1:27" x14ac:dyDescent="0.3">
      <c r="A69" s="2">
        <v>19937</v>
      </c>
      <c r="B69" s="3">
        <v>293</v>
      </c>
      <c r="D69" s="3">
        <v>1</v>
      </c>
      <c r="E69" s="3">
        <v>272</v>
      </c>
      <c r="F69" s="3">
        <v>237</v>
      </c>
      <c r="G69" s="3">
        <v>211</v>
      </c>
      <c r="H69" s="3">
        <v>180</v>
      </c>
      <c r="I69" s="3">
        <v>201</v>
      </c>
      <c r="J69" s="3">
        <v>204</v>
      </c>
      <c r="K69" s="3">
        <v>188</v>
      </c>
      <c r="L69" s="3">
        <v>235</v>
      </c>
      <c r="M69" s="3">
        <v>227</v>
      </c>
      <c r="N69" s="3">
        <v>234</v>
      </c>
      <c r="O69" s="3">
        <v>264</v>
      </c>
      <c r="P69" s="3">
        <v>302</v>
      </c>
      <c r="R69" s="3">
        <v>293</v>
      </c>
      <c r="T69" s="3">
        <f>SUMPRODUCT(D81:P81,$D$149:$P$149)</f>
        <v>342.55032036200356</v>
      </c>
      <c r="U69" s="3">
        <f>SUMPRODUCT(D81:P81,$D$150:$P$150)</f>
        <v>342.5517698467728</v>
      </c>
      <c r="X69" s="2">
        <v>19937</v>
      </c>
      <c r="Y69" s="3">
        <v>293</v>
      </c>
      <c r="Z69" s="3">
        <f t="shared" si="8"/>
        <v>310.19961867386195</v>
      </c>
      <c r="AA69" s="3"/>
    </row>
    <row r="70" spans="1:27" x14ac:dyDescent="0.3">
      <c r="A70" s="2">
        <v>19968</v>
      </c>
      <c r="B70" s="3">
        <v>259</v>
      </c>
      <c r="D70" s="3">
        <v>1</v>
      </c>
      <c r="E70" s="3">
        <v>237</v>
      </c>
      <c r="F70" s="3">
        <v>211</v>
      </c>
      <c r="G70" s="3">
        <v>180</v>
      </c>
      <c r="H70" s="3">
        <v>201</v>
      </c>
      <c r="I70" s="3">
        <v>204</v>
      </c>
      <c r="J70" s="3">
        <v>188</v>
      </c>
      <c r="K70" s="3">
        <v>235</v>
      </c>
      <c r="L70" s="3">
        <v>227</v>
      </c>
      <c r="M70" s="3">
        <v>234</v>
      </c>
      <c r="N70" s="3">
        <v>264</v>
      </c>
      <c r="O70" s="3">
        <v>302</v>
      </c>
      <c r="P70" s="3">
        <v>293</v>
      </c>
      <c r="R70" s="3">
        <v>259</v>
      </c>
      <c r="T70" s="3">
        <f>SUMPRODUCT(D82:P82,$D$149:$P$149)</f>
        <v>298.22751651433873</v>
      </c>
      <c r="U70" s="3">
        <f>SUMPRODUCT(D82:P82,$D$150:$P$150)</f>
        <v>298.22825030028042</v>
      </c>
      <c r="X70" s="2">
        <v>19968</v>
      </c>
      <c r="Y70" s="3">
        <v>259</v>
      </c>
      <c r="Z70" s="3">
        <f t="shared" si="8"/>
        <v>263.47486545391018</v>
      </c>
      <c r="AA70" s="3"/>
    </row>
    <row r="71" spans="1:27" x14ac:dyDescent="0.3">
      <c r="A71" s="2">
        <v>19998</v>
      </c>
      <c r="B71" s="3">
        <v>229</v>
      </c>
      <c r="D71" s="3">
        <v>1</v>
      </c>
      <c r="E71" s="3">
        <v>211</v>
      </c>
      <c r="F71" s="3">
        <v>180</v>
      </c>
      <c r="G71" s="3">
        <v>201</v>
      </c>
      <c r="H71" s="3">
        <v>204</v>
      </c>
      <c r="I71" s="3">
        <v>188</v>
      </c>
      <c r="J71" s="3">
        <v>235</v>
      </c>
      <c r="K71" s="3">
        <v>227</v>
      </c>
      <c r="L71" s="3">
        <v>234</v>
      </c>
      <c r="M71" s="3">
        <v>264</v>
      </c>
      <c r="N71" s="3">
        <v>302</v>
      </c>
      <c r="O71" s="3">
        <v>293</v>
      </c>
      <c r="P71" s="3">
        <v>259</v>
      </c>
      <c r="R71" s="3">
        <v>229</v>
      </c>
      <c r="T71" s="3">
        <f>SUMPRODUCT(D83:P83,$D$149:$P$149)</f>
        <v>268.00613469764903</v>
      </c>
      <c r="U71" s="3">
        <f>SUMPRODUCT(D83:P83,$D$150:$P$150)</f>
        <v>268.00599749251774</v>
      </c>
      <c r="X71" s="2">
        <v>19998</v>
      </c>
      <c r="Y71" s="3">
        <v>229</v>
      </c>
      <c r="Z71" s="3">
        <f t="shared" si="8"/>
        <v>242.45808766688367</v>
      </c>
      <c r="AA71" s="3"/>
    </row>
    <row r="72" spans="1:27" x14ac:dyDescent="0.3">
      <c r="A72" s="2">
        <v>20029</v>
      </c>
      <c r="B72" s="3">
        <v>203</v>
      </c>
      <c r="D72" s="3">
        <v>1</v>
      </c>
      <c r="E72" s="3">
        <v>180</v>
      </c>
      <c r="F72" s="3">
        <v>201</v>
      </c>
      <c r="G72" s="3">
        <v>204</v>
      </c>
      <c r="H72" s="3">
        <v>188</v>
      </c>
      <c r="I72" s="3">
        <v>235</v>
      </c>
      <c r="J72" s="3">
        <v>227</v>
      </c>
      <c r="K72" s="3">
        <v>234</v>
      </c>
      <c r="L72" s="3">
        <v>264</v>
      </c>
      <c r="M72" s="3">
        <v>302</v>
      </c>
      <c r="N72" s="3">
        <v>293</v>
      </c>
      <c r="O72" s="3">
        <v>259</v>
      </c>
      <c r="P72" s="3">
        <v>229</v>
      </c>
      <c r="R72" s="3">
        <v>203</v>
      </c>
      <c r="T72" s="3">
        <f>SUMPRODUCT(D84:P84,$D$149:$P$149)</f>
        <v>235.05037513523712</v>
      </c>
      <c r="U72" s="3">
        <f>SUMPRODUCT(D84:P84,$D$150:$P$150)</f>
        <v>235.04985432777073</v>
      </c>
      <c r="X72" s="2">
        <v>20029</v>
      </c>
      <c r="Y72" s="3">
        <v>203</v>
      </c>
      <c r="Z72" s="3">
        <f t="shared" si="8"/>
        <v>200.09317610060549</v>
      </c>
      <c r="AA72" s="3"/>
    </row>
    <row r="73" spans="1:27" x14ac:dyDescent="0.3">
      <c r="A73" s="2">
        <v>20059</v>
      </c>
      <c r="B73" s="3">
        <v>229</v>
      </c>
      <c r="D73" s="3">
        <v>1</v>
      </c>
      <c r="E73" s="3">
        <v>201</v>
      </c>
      <c r="F73" s="3">
        <v>204</v>
      </c>
      <c r="G73" s="3">
        <v>188</v>
      </c>
      <c r="H73" s="3">
        <v>235</v>
      </c>
      <c r="I73" s="3">
        <v>227</v>
      </c>
      <c r="J73" s="3">
        <v>234</v>
      </c>
      <c r="K73" s="3">
        <v>264</v>
      </c>
      <c r="L73" s="3">
        <v>302</v>
      </c>
      <c r="M73" s="3">
        <v>293</v>
      </c>
      <c r="N73" s="3">
        <v>259</v>
      </c>
      <c r="O73" s="3">
        <v>229</v>
      </c>
      <c r="P73" s="3">
        <v>203</v>
      </c>
      <c r="R73" s="3">
        <v>229</v>
      </c>
      <c r="T73" s="3">
        <f>SUMPRODUCT(D85:P85,$D$149:$P$149)</f>
        <v>258.23153389413443</v>
      </c>
      <c r="U73" s="3">
        <f>SUMPRODUCT(D85:P85,$D$150:$P$150)</f>
        <v>258.23129168683261</v>
      </c>
      <c r="X73" s="2">
        <v>20059</v>
      </c>
      <c r="Y73" s="3">
        <v>229</v>
      </c>
      <c r="Z73" s="3">
        <f t="shared" si="8"/>
        <v>232.12534858941657</v>
      </c>
      <c r="AA73" s="3"/>
    </row>
    <row r="74" spans="1:27" x14ac:dyDescent="0.3">
      <c r="A74" s="2">
        <v>20090</v>
      </c>
      <c r="B74" s="3">
        <v>242</v>
      </c>
      <c r="D74" s="3">
        <v>1</v>
      </c>
      <c r="E74" s="3">
        <v>204</v>
      </c>
      <c r="F74" s="3">
        <v>188</v>
      </c>
      <c r="G74" s="3">
        <v>235</v>
      </c>
      <c r="H74" s="3">
        <v>227</v>
      </c>
      <c r="I74" s="3">
        <v>234</v>
      </c>
      <c r="J74" s="3">
        <v>264</v>
      </c>
      <c r="K74" s="3">
        <v>302</v>
      </c>
      <c r="L74" s="3">
        <v>293</v>
      </c>
      <c r="M74" s="3">
        <v>259</v>
      </c>
      <c r="N74" s="3">
        <v>229</v>
      </c>
      <c r="O74" s="3">
        <v>203</v>
      </c>
      <c r="P74" s="3">
        <v>229</v>
      </c>
      <c r="R74" s="3">
        <v>242</v>
      </c>
      <c r="T74" s="3">
        <f>SUMPRODUCT(D86:P86,$D$149:$P$149)</f>
        <v>274.73357439119002</v>
      </c>
      <c r="U74" s="3">
        <f>SUMPRODUCT(D86:P86,$D$150:$P$150)</f>
        <v>274.73478042740931</v>
      </c>
      <c r="X74" s="2">
        <v>20090</v>
      </c>
      <c r="Y74" s="3">
        <v>242</v>
      </c>
      <c r="Z74" s="3">
        <f t="shared" si="8"/>
        <v>221.41421343976836</v>
      </c>
      <c r="AA74" s="3"/>
    </row>
    <row r="75" spans="1:27" x14ac:dyDescent="0.3">
      <c r="A75" s="2">
        <v>20121</v>
      </c>
      <c r="B75" s="3">
        <v>233</v>
      </c>
      <c r="D75" s="3">
        <v>1</v>
      </c>
      <c r="E75" s="3">
        <v>188</v>
      </c>
      <c r="F75" s="3">
        <v>235</v>
      </c>
      <c r="G75" s="3">
        <v>227</v>
      </c>
      <c r="H75" s="3">
        <v>234</v>
      </c>
      <c r="I75" s="3">
        <v>264</v>
      </c>
      <c r="J75" s="3">
        <v>302</v>
      </c>
      <c r="K75" s="3">
        <v>293</v>
      </c>
      <c r="L75" s="3">
        <v>259</v>
      </c>
      <c r="M75" s="3">
        <v>229</v>
      </c>
      <c r="N75" s="3">
        <v>203</v>
      </c>
      <c r="O75" s="3">
        <v>229</v>
      </c>
      <c r="P75" s="3">
        <v>242</v>
      </c>
      <c r="R75" s="3">
        <v>233</v>
      </c>
      <c r="T75" s="3">
        <f>SUMPRODUCT(D87:P87,$D$149:$P$149)</f>
        <v>268.56752424340215</v>
      </c>
      <c r="U75" s="3">
        <f>SUMPRODUCT(D87:P87,$D$150:$P$150)</f>
        <v>268.56819096802332</v>
      </c>
      <c r="X75" s="2">
        <v>20121</v>
      </c>
      <c r="Y75" s="3">
        <v>233</v>
      </c>
      <c r="Z75" s="3">
        <f t="shared" si="8"/>
        <v>232.59396146747613</v>
      </c>
      <c r="AA75" s="3"/>
    </row>
    <row r="76" spans="1:27" x14ac:dyDescent="0.3">
      <c r="A76" s="2">
        <v>20149</v>
      </c>
      <c r="B76" s="3">
        <v>267</v>
      </c>
      <c r="D76" s="3">
        <v>1</v>
      </c>
      <c r="E76" s="3">
        <v>235</v>
      </c>
      <c r="F76" s="3">
        <v>227</v>
      </c>
      <c r="G76" s="3">
        <v>234</v>
      </c>
      <c r="H76" s="3">
        <v>264</v>
      </c>
      <c r="I76" s="3">
        <v>302</v>
      </c>
      <c r="J76" s="3">
        <v>293</v>
      </c>
      <c r="K76" s="3">
        <v>259</v>
      </c>
      <c r="L76" s="3">
        <v>229</v>
      </c>
      <c r="M76" s="3">
        <v>203</v>
      </c>
      <c r="N76" s="3">
        <v>229</v>
      </c>
      <c r="O76" s="3">
        <v>242</v>
      </c>
      <c r="P76" s="3">
        <v>233</v>
      </c>
      <c r="R76" s="3">
        <v>267</v>
      </c>
      <c r="T76" s="3">
        <f>SUMPRODUCT(D88:P88,$D$149:$P$149)</f>
        <v>293.13861917741997</v>
      </c>
      <c r="U76" s="3">
        <f>SUMPRODUCT(D88:P88,$D$150:$P$150)</f>
        <v>293.13828920937266</v>
      </c>
      <c r="X76" s="2">
        <v>20149</v>
      </c>
      <c r="Y76" s="3">
        <v>267</v>
      </c>
      <c r="Z76" s="3">
        <f t="shared" si="8"/>
        <v>250.00752004254795</v>
      </c>
      <c r="AA76" s="3"/>
    </row>
    <row r="77" spans="1:27" x14ac:dyDescent="0.3">
      <c r="A77" s="2">
        <v>20180</v>
      </c>
      <c r="B77" s="3">
        <v>269</v>
      </c>
      <c r="D77" s="3">
        <v>1</v>
      </c>
      <c r="E77" s="3">
        <v>227</v>
      </c>
      <c r="F77" s="3">
        <v>234</v>
      </c>
      <c r="G77" s="3">
        <v>264</v>
      </c>
      <c r="H77" s="3">
        <v>302</v>
      </c>
      <c r="I77" s="3">
        <v>293</v>
      </c>
      <c r="J77" s="3">
        <v>259</v>
      </c>
      <c r="K77" s="3">
        <v>229</v>
      </c>
      <c r="L77" s="3">
        <v>203</v>
      </c>
      <c r="M77" s="3">
        <v>229</v>
      </c>
      <c r="N77" s="3">
        <v>242</v>
      </c>
      <c r="O77" s="3">
        <v>233</v>
      </c>
      <c r="P77" s="3">
        <v>267</v>
      </c>
      <c r="R77" s="3">
        <v>269</v>
      </c>
      <c r="T77" s="3">
        <f>SUMPRODUCT(D89:P89,$D$149:$P$149)</f>
        <v>305.72868740794752</v>
      </c>
      <c r="U77" s="3">
        <f>SUMPRODUCT(D89:P89,$D$150:$P$150)</f>
        <v>305.72980958178113</v>
      </c>
      <c r="X77" s="2">
        <v>20180</v>
      </c>
      <c r="Y77" s="3">
        <v>269</v>
      </c>
      <c r="Z77" s="3">
        <f t="shared" si="8"/>
        <v>263.54706974880492</v>
      </c>
      <c r="AA77" s="3"/>
    </row>
    <row r="78" spans="1:27" x14ac:dyDescent="0.3">
      <c r="A78" s="2">
        <v>20210</v>
      </c>
      <c r="B78" s="3">
        <v>270</v>
      </c>
      <c r="D78" s="3">
        <v>1</v>
      </c>
      <c r="E78" s="3">
        <v>234</v>
      </c>
      <c r="F78" s="3">
        <v>264</v>
      </c>
      <c r="G78" s="3">
        <v>302</v>
      </c>
      <c r="H78" s="3">
        <v>293</v>
      </c>
      <c r="I78" s="3">
        <v>259</v>
      </c>
      <c r="J78" s="3">
        <v>229</v>
      </c>
      <c r="K78" s="3">
        <v>203</v>
      </c>
      <c r="L78" s="3">
        <v>229</v>
      </c>
      <c r="M78" s="3">
        <v>242</v>
      </c>
      <c r="N78" s="3">
        <v>233</v>
      </c>
      <c r="O78" s="3">
        <v>267</v>
      </c>
      <c r="P78" s="3">
        <v>269</v>
      </c>
      <c r="R78" s="3">
        <v>270</v>
      </c>
      <c r="T78" s="3">
        <f>SUMPRODUCT(D90:P90,$D$149:$P$149)</f>
        <v>309.11071979852659</v>
      </c>
      <c r="U78" s="3">
        <f>SUMPRODUCT(D90:P90,$D$150:$P$150)</f>
        <v>309.11133344947115</v>
      </c>
      <c r="X78" s="2">
        <v>20210</v>
      </c>
      <c r="Y78" s="3">
        <v>270</v>
      </c>
      <c r="Z78" s="3">
        <f t="shared" si="8"/>
        <v>266.63387177282175</v>
      </c>
      <c r="AA78" s="3"/>
    </row>
    <row r="79" spans="1:27" x14ac:dyDescent="0.3">
      <c r="A79" s="2">
        <v>20241</v>
      </c>
      <c r="B79" s="3">
        <v>315</v>
      </c>
      <c r="D79" s="3">
        <v>1</v>
      </c>
      <c r="E79" s="3">
        <v>264</v>
      </c>
      <c r="F79" s="3">
        <v>302</v>
      </c>
      <c r="G79" s="3">
        <v>293</v>
      </c>
      <c r="H79" s="3">
        <v>259</v>
      </c>
      <c r="I79" s="3">
        <v>229</v>
      </c>
      <c r="J79" s="3">
        <v>203</v>
      </c>
      <c r="K79" s="3">
        <v>229</v>
      </c>
      <c r="L79" s="3">
        <v>242</v>
      </c>
      <c r="M79" s="3">
        <v>233</v>
      </c>
      <c r="N79" s="3">
        <v>267</v>
      </c>
      <c r="O79" s="3">
        <v>269</v>
      </c>
      <c r="P79" s="3">
        <v>270</v>
      </c>
      <c r="R79" s="3">
        <v>315</v>
      </c>
      <c r="T79" s="3">
        <f>SUMPRODUCT(D91:P91,$D$149:$P$149)</f>
        <v>352.86721007800793</v>
      </c>
      <c r="U79" s="3">
        <f>SUMPRODUCT(D91:P91,$D$150:$P$150)</f>
        <v>352.8672799737551</v>
      </c>
      <c r="X79" s="2">
        <v>20241</v>
      </c>
      <c r="Y79" s="3">
        <v>315</v>
      </c>
      <c r="Z79" s="3">
        <f t="shared" ref="Z79:Z133" si="9">U67</f>
        <v>298.32292032514795</v>
      </c>
      <c r="AA79" s="3"/>
    </row>
    <row r="80" spans="1:27" x14ac:dyDescent="0.3">
      <c r="A80" s="2">
        <v>20271</v>
      </c>
      <c r="B80" s="3">
        <v>364</v>
      </c>
      <c r="D80" s="3">
        <v>1</v>
      </c>
      <c r="E80" s="3">
        <v>302</v>
      </c>
      <c r="F80" s="3">
        <v>293</v>
      </c>
      <c r="G80" s="3">
        <v>259</v>
      </c>
      <c r="H80" s="3">
        <v>229</v>
      </c>
      <c r="I80" s="3">
        <v>203</v>
      </c>
      <c r="J80" s="3">
        <v>229</v>
      </c>
      <c r="K80" s="3">
        <v>242</v>
      </c>
      <c r="L80" s="3">
        <v>233</v>
      </c>
      <c r="M80" s="3">
        <v>267</v>
      </c>
      <c r="N80" s="3">
        <v>269</v>
      </c>
      <c r="O80" s="3">
        <v>270</v>
      </c>
      <c r="P80" s="3">
        <v>315</v>
      </c>
      <c r="R80" s="3">
        <v>364</v>
      </c>
      <c r="T80" s="3">
        <f>SUMPRODUCT(D92:P92,$D$149:$P$149)</f>
        <v>407.81257969508806</v>
      </c>
      <c r="U80" s="3">
        <f>SUMPRODUCT(D92:P92,$D$150:$P$150)</f>
        <v>407.81321280473219</v>
      </c>
      <c r="X80" s="2">
        <v>20271</v>
      </c>
      <c r="Y80" s="3">
        <v>364</v>
      </c>
      <c r="Z80" s="3">
        <f t="shared" si="9"/>
        <v>340.61405561417359</v>
      </c>
      <c r="AA80" s="3"/>
    </row>
    <row r="81" spans="1:27" x14ac:dyDescent="0.3">
      <c r="A81" s="2">
        <v>20302</v>
      </c>
      <c r="B81" s="3">
        <v>347</v>
      </c>
      <c r="D81" s="3">
        <v>1</v>
      </c>
      <c r="E81" s="3">
        <v>293</v>
      </c>
      <c r="F81" s="3">
        <v>259</v>
      </c>
      <c r="G81" s="3">
        <v>229</v>
      </c>
      <c r="H81" s="3">
        <v>203</v>
      </c>
      <c r="I81" s="3">
        <v>229</v>
      </c>
      <c r="J81" s="3">
        <v>242</v>
      </c>
      <c r="K81" s="3">
        <v>233</v>
      </c>
      <c r="L81" s="3">
        <v>267</v>
      </c>
      <c r="M81" s="3">
        <v>269</v>
      </c>
      <c r="N81" s="3">
        <v>270</v>
      </c>
      <c r="O81" s="3">
        <v>315</v>
      </c>
      <c r="P81" s="3">
        <v>364</v>
      </c>
      <c r="R81" s="3">
        <v>347</v>
      </c>
      <c r="T81" s="3">
        <f>SUMPRODUCT(D93:P93,$D$149:$P$149)</f>
        <v>391.41456686554187</v>
      </c>
      <c r="U81" s="3">
        <f>SUMPRODUCT(D93:P93,$D$150:$P$150)</f>
        <v>391.41566708849092</v>
      </c>
      <c r="X81" s="2">
        <v>20302</v>
      </c>
      <c r="Y81" s="3">
        <v>347</v>
      </c>
      <c r="Z81" s="3">
        <f t="shared" si="9"/>
        <v>342.5517698467728</v>
      </c>
      <c r="AA81" s="3"/>
    </row>
    <row r="82" spans="1:27" x14ac:dyDescent="0.3">
      <c r="A82" s="2">
        <v>20333</v>
      </c>
      <c r="B82" s="3">
        <v>312</v>
      </c>
      <c r="D82" s="3">
        <v>1</v>
      </c>
      <c r="E82" s="3">
        <v>259</v>
      </c>
      <c r="F82" s="3">
        <v>229</v>
      </c>
      <c r="G82" s="3">
        <v>203</v>
      </c>
      <c r="H82" s="3">
        <v>229</v>
      </c>
      <c r="I82" s="3">
        <v>242</v>
      </c>
      <c r="J82" s="3">
        <v>233</v>
      </c>
      <c r="K82" s="3">
        <v>267</v>
      </c>
      <c r="L82" s="3">
        <v>269</v>
      </c>
      <c r="M82" s="3">
        <v>270</v>
      </c>
      <c r="N82" s="3">
        <v>315</v>
      </c>
      <c r="O82" s="3">
        <v>364</v>
      </c>
      <c r="P82" s="3">
        <v>347</v>
      </c>
      <c r="R82" s="3">
        <v>312</v>
      </c>
      <c r="T82" s="3">
        <f>SUMPRODUCT(D94:P94,$D$149:$P$149)</f>
        <v>361.80748274277522</v>
      </c>
      <c r="U82" s="3">
        <f>SUMPRODUCT(D94:P94,$D$150:$P$150)</f>
        <v>361.80881498586365</v>
      </c>
      <c r="X82" s="2">
        <v>20333</v>
      </c>
      <c r="Y82" s="3">
        <v>312</v>
      </c>
      <c r="Z82" s="3">
        <f t="shared" si="9"/>
        <v>298.22825030028042</v>
      </c>
      <c r="AA82" s="3"/>
    </row>
    <row r="83" spans="1:27" x14ac:dyDescent="0.3">
      <c r="A83" s="2">
        <v>20363</v>
      </c>
      <c r="B83" s="3">
        <v>274</v>
      </c>
      <c r="D83" s="3">
        <v>1</v>
      </c>
      <c r="E83" s="3">
        <v>229</v>
      </c>
      <c r="F83" s="3">
        <v>203</v>
      </c>
      <c r="G83" s="3">
        <v>229</v>
      </c>
      <c r="H83" s="3">
        <v>242</v>
      </c>
      <c r="I83" s="3">
        <v>233</v>
      </c>
      <c r="J83" s="3">
        <v>267</v>
      </c>
      <c r="K83" s="3">
        <v>269</v>
      </c>
      <c r="L83" s="3">
        <v>270</v>
      </c>
      <c r="M83" s="3">
        <v>315</v>
      </c>
      <c r="N83" s="3">
        <v>364</v>
      </c>
      <c r="O83" s="3">
        <v>347</v>
      </c>
      <c r="P83" s="3">
        <v>312</v>
      </c>
      <c r="R83" s="3">
        <v>274</v>
      </c>
      <c r="T83" s="3">
        <f>SUMPRODUCT(D95:P95,$D$149:$P$149)</f>
        <v>302.42870506039742</v>
      </c>
      <c r="U83" s="3">
        <f>SUMPRODUCT(D95:P95,$D$150:$P$150)</f>
        <v>302.42802417608436</v>
      </c>
      <c r="X83" s="2">
        <v>20363</v>
      </c>
      <c r="Y83" s="3">
        <v>274</v>
      </c>
      <c r="Z83" s="3">
        <f t="shared" si="9"/>
        <v>268.00599749251774</v>
      </c>
      <c r="AA83" s="3"/>
    </row>
    <row r="84" spans="1:27" x14ac:dyDescent="0.3">
      <c r="A84" s="2">
        <v>20394</v>
      </c>
      <c r="B84" s="3">
        <v>237</v>
      </c>
      <c r="D84" s="3">
        <v>1</v>
      </c>
      <c r="E84" s="3">
        <v>203</v>
      </c>
      <c r="F84" s="3">
        <v>229</v>
      </c>
      <c r="G84" s="3">
        <v>242</v>
      </c>
      <c r="H84" s="3">
        <v>233</v>
      </c>
      <c r="I84" s="3">
        <v>267</v>
      </c>
      <c r="J84" s="3">
        <v>269</v>
      </c>
      <c r="K84" s="3">
        <v>270</v>
      </c>
      <c r="L84" s="3">
        <v>315</v>
      </c>
      <c r="M84" s="3">
        <v>364</v>
      </c>
      <c r="N84" s="3">
        <v>347</v>
      </c>
      <c r="O84" s="3">
        <v>312</v>
      </c>
      <c r="P84" s="3">
        <v>274</v>
      </c>
      <c r="R84" s="3">
        <v>237</v>
      </c>
      <c r="T84" s="3">
        <f>SUMPRODUCT(D96:P96,$D$149:$P$149)</f>
        <v>276.41167463801838</v>
      </c>
      <c r="U84" s="3">
        <f>SUMPRODUCT(D96:P96,$D$150:$P$150)</f>
        <v>276.41126738962214</v>
      </c>
      <c r="X84" s="2">
        <v>20394</v>
      </c>
      <c r="Y84" s="3">
        <v>237</v>
      </c>
      <c r="Z84" s="3">
        <f t="shared" si="9"/>
        <v>235.04985432777073</v>
      </c>
      <c r="AA84" s="3"/>
    </row>
    <row r="85" spans="1:27" x14ac:dyDescent="0.3">
      <c r="A85" s="2">
        <v>20424</v>
      </c>
      <c r="B85" s="3">
        <v>278</v>
      </c>
      <c r="D85" s="3">
        <v>1</v>
      </c>
      <c r="E85" s="3">
        <v>229</v>
      </c>
      <c r="F85" s="3">
        <v>242</v>
      </c>
      <c r="G85" s="3">
        <v>233</v>
      </c>
      <c r="H85" s="3">
        <v>267</v>
      </c>
      <c r="I85" s="3">
        <v>269</v>
      </c>
      <c r="J85" s="3">
        <v>270</v>
      </c>
      <c r="K85" s="3">
        <v>315</v>
      </c>
      <c r="L85" s="3">
        <v>364</v>
      </c>
      <c r="M85" s="3">
        <v>347</v>
      </c>
      <c r="N85" s="3">
        <v>312</v>
      </c>
      <c r="O85" s="3">
        <v>274</v>
      </c>
      <c r="P85" s="3">
        <v>237</v>
      </c>
      <c r="R85" s="3">
        <v>278</v>
      </c>
      <c r="T85" s="3">
        <f>SUMPRODUCT(D97:P97,$D$149:$P$149)</f>
        <v>300.27450254612597</v>
      </c>
      <c r="U85" s="3">
        <f>SUMPRODUCT(D97:P97,$D$150:$P$150)</f>
        <v>300.27406989174631</v>
      </c>
      <c r="X85" s="2">
        <v>20424</v>
      </c>
      <c r="Y85" s="3">
        <v>278</v>
      </c>
      <c r="Z85" s="3">
        <f t="shared" si="9"/>
        <v>258.23129168683261</v>
      </c>
      <c r="AA85" s="3"/>
    </row>
    <row r="86" spans="1:27" x14ac:dyDescent="0.3">
      <c r="A86" s="2">
        <v>20455</v>
      </c>
      <c r="B86" s="3">
        <v>284</v>
      </c>
      <c r="D86" s="3">
        <v>1</v>
      </c>
      <c r="E86" s="3">
        <v>242</v>
      </c>
      <c r="F86" s="3">
        <v>233</v>
      </c>
      <c r="G86" s="3">
        <v>267</v>
      </c>
      <c r="H86" s="3">
        <v>269</v>
      </c>
      <c r="I86" s="3">
        <v>270</v>
      </c>
      <c r="J86" s="3">
        <v>315</v>
      </c>
      <c r="K86" s="3">
        <v>364</v>
      </c>
      <c r="L86" s="3">
        <v>347</v>
      </c>
      <c r="M86" s="3">
        <v>312</v>
      </c>
      <c r="N86" s="3">
        <v>274</v>
      </c>
      <c r="O86" s="3">
        <v>237</v>
      </c>
      <c r="P86" s="3">
        <v>278</v>
      </c>
      <c r="R86" s="3">
        <v>284</v>
      </c>
      <c r="T86" s="3">
        <f>SUMPRODUCT(D98:P98,$D$149:$P$149)</f>
        <v>315.57571098719905</v>
      </c>
      <c r="U86" s="3">
        <f>SUMPRODUCT(D98:P98,$D$150:$P$150)</f>
        <v>315.57677609163375</v>
      </c>
      <c r="X86" s="2">
        <v>20455</v>
      </c>
      <c r="Y86" s="3">
        <v>284</v>
      </c>
      <c r="Z86" s="3">
        <f t="shared" si="9"/>
        <v>274.73478042740931</v>
      </c>
      <c r="AA86" s="3"/>
    </row>
    <row r="87" spans="1:27" x14ac:dyDescent="0.3">
      <c r="A87" s="2">
        <v>20486</v>
      </c>
      <c r="B87" s="3">
        <v>277</v>
      </c>
      <c r="D87" s="3">
        <v>1</v>
      </c>
      <c r="E87" s="3">
        <v>233</v>
      </c>
      <c r="F87" s="3">
        <v>267</v>
      </c>
      <c r="G87" s="3">
        <v>269</v>
      </c>
      <c r="H87" s="3">
        <v>270</v>
      </c>
      <c r="I87" s="3">
        <v>315</v>
      </c>
      <c r="J87" s="3">
        <v>364</v>
      </c>
      <c r="K87" s="3">
        <v>347</v>
      </c>
      <c r="L87" s="3">
        <v>312</v>
      </c>
      <c r="M87" s="3">
        <v>274</v>
      </c>
      <c r="N87" s="3">
        <v>237</v>
      </c>
      <c r="O87" s="3">
        <v>278</v>
      </c>
      <c r="P87" s="3">
        <v>284</v>
      </c>
      <c r="R87" s="3">
        <v>277</v>
      </c>
      <c r="T87" s="3">
        <f>SUMPRODUCT(D99:P99,$D$149:$P$149)</f>
        <v>308.67860557303931</v>
      </c>
      <c r="U87" s="3">
        <f>SUMPRODUCT(D99:P99,$D$150:$P$150)</f>
        <v>308.67919765235365</v>
      </c>
      <c r="X87" s="2">
        <v>20486</v>
      </c>
      <c r="Y87" s="3">
        <v>277</v>
      </c>
      <c r="Z87" s="3">
        <f t="shared" si="9"/>
        <v>268.56819096802332</v>
      </c>
      <c r="AA87" s="3"/>
    </row>
    <row r="88" spans="1:27" x14ac:dyDescent="0.3">
      <c r="A88" s="2">
        <v>20515</v>
      </c>
      <c r="B88" s="3">
        <v>317</v>
      </c>
      <c r="D88" s="3">
        <v>1</v>
      </c>
      <c r="E88" s="3">
        <v>267</v>
      </c>
      <c r="F88" s="3">
        <v>269</v>
      </c>
      <c r="G88" s="3">
        <v>270</v>
      </c>
      <c r="H88" s="3">
        <v>315</v>
      </c>
      <c r="I88" s="3">
        <v>364</v>
      </c>
      <c r="J88" s="3">
        <v>347</v>
      </c>
      <c r="K88" s="3">
        <v>312</v>
      </c>
      <c r="L88" s="3">
        <v>274</v>
      </c>
      <c r="M88" s="3">
        <v>237</v>
      </c>
      <c r="N88" s="3">
        <v>278</v>
      </c>
      <c r="O88" s="3">
        <v>284</v>
      </c>
      <c r="P88" s="3">
        <v>277</v>
      </c>
      <c r="R88" s="3">
        <v>317</v>
      </c>
      <c r="T88" s="3">
        <f>SUMPRODUCT(D100:P100,$D$149:$P$149)</f>
        <v>337.25408756982642</v>
      </c>
      <c r="U88" s="3">
        <f>SUMPRODUCT(D100:P100,$D$150:$P$150)</f>
        <v>337.25333721583377</v>
      </c>
      <c r="X88" s="2">
        <v>20515</v>
      </c>
      <c r="Y88" s="3">
        <v>317</v>
      </c>
      <c r="Z88" s="3">
        <f t="shared" si="9"/>
        <v>293.13828920937266</v>
      </c>
      <c r="AA88" s="3"/>
    </row>
    <row r="89" spans="1:27" x14ac:dyDescent="0.3">
      <c r="A89" s="2">
        <v>20546</v>
      </c>
      <c r="B89" s="3">
        <v>313</v>
      </c>
      <c r="D89" s="3">
        <v>1</v>
      </c>
      <c r="E89" s="3">
        <v>269</v>
      </c>
      <c r="F89" s="3">
        <v>270</v>
      </c>
      <c r="G89" s="3">
        <v>315</v>
      </c>
      <c r="H89" s="3">
        <v>364</v>
      </c>
      <c r="I89" s="3">
        <v>347</v>
      </c>
      <c r="J89" s="3">
        <v>312</v>
      </c>
      <c r="K89" s="3">
        <v>274</v>
      </c>
      <c r="L89" s="3">
        <v>237</v>
      </c>
      <c r="M89" s="3">
        <v>278</v>
      </c>
      <c r="N89" s="3">
        <v>284</v>
      </c>
      <c r="O89" s="3">
        <v>277</v>
      </c>
      <c r="P89" s="3">
        <v>317</v>
      </c>
      <c r="R89" s="3">
        <v>313</v>
      </c>
      <c r="T89" s="3">
        <f>SUMPRODUCT(D101:P101,$D$149:$P$149)</f>
        <v>350.13701097249083</v>
      </c>
      <c r="U89" s="3">
        <f>SUMPRODUCT(D101:P101,$D$150:$P$150)</f>
        <v>350.13831174027393</v>
      </c>
      <c r="X89" s="2">
        <v>20546</v>
      </c>
      <c r="Y89" s="3">
        <v>313</v>
      </c>
      <c r="Z89" s="3">
        <f t="shared" si="9"/>
        <v>305.72980958178113</v>
      </c>
      <c r="AA89" s="3"/>
    </row>
    <row r="90" spans="1:27" x14ac:dyDescent="0.3">
      <c r="A90" s="2">
        <v>20576</v>
      </c>
      <c r="B90" s="3">
        <v>318</v>
      </c>
      <c r="D90" s="3">
        <v>1</v>
      </c>
      <c r="E90" s="3">
        <v>270</v>
      </c>
      <c r="F90" s="3">
        <v>315</v>
      </c>
      <c r="G90" s="3">
        <v>364</v>
      </c>
      <c r="H90" s="3">
        <v>347</v>
      </c>
      <c r="I90" s="3">
        <v>312</v>
      </c>
      <c r="J90" s="3">
        <v>274</v>
      </c>
      <c r="K90" s="3">
        <v>237</v>
      </c>
      <c r="L90" s="3">
        <v>278</v>
      </c>
      <c r="M90" s="3">
        <v>284</v>
      </c>
      <c r="N90" s="3">
        <v>277</v>
      </c>
      <c r="O90" s="3">
        <v>317</v>
      </c>
      <c r="P90" s="3">
        <v>313</v>
      </c>
      <c r="R90" s="3">
        <v>318</v>
      </c>
      <c r="T90" s="3">
        <f>SUMPRODUCT(D102:P102,$D$149:$P$149)</f>
        <v>356.76441176605033</v>
      </c>
      <c r="U90" s="3">
        <f>SUMPRODUCT(D102:P102,$D$150:$P$150)</f>
        <v>356.76506375643794</v>
      </c>
      <c r="X90" s="2">
        <v>20576</v>
      </c>
      <c r="Y90" s="3">
        <v>318</v>
      </c>
      <c r="Z90" s="3">
        <f t="shared" si="9"/>
        <v>309.11133344947115</v>
      </c>
      <c r="AA90" s="3"/>
    </row>
    <row r="91" spans="1:27" x14ac:dyDescent="0.3">
      <c r="A91" s="2">
        <v>20607</v>
      </c>
      <c r="B91" s="3">
        <v>374</v>
      </c>
      <c r="D91" s="3">
        <v>1</v>
      </c>
      <c r="E91" s="3">
        <v>315</v>
      </c>
      <c r="F91" s="3">
        <v>364</v>
      </c>
      <c r="G91" s="3">
        <v>347</v>
      </c>
      <c r="H91" s="3">
        <v>312</v>
      </c>
      <c r="I91" s="3">
        <v>274</v>
      </c>
      <c r="J91" s="3">
        <v>237</v>
      </c>
      <c r="K91" s="3">
        <v>278</v>
      </c>
      <c r="L91" s="3">
        <v>284</v>
      </c>
      <c r="M91" s="3">
        <v>277</v>
      </c>
      <c r="N91" s="3">
        <v>317</v>
      </c>
      <c r="O91" s="3">
        <v>313</v>
      </c>
      <c r="P91" s="3">
        <v>318</v>
      </c>
      <c r="R91" s="3">
        <v>374</v>
      </c>
      <c r="T91" s="3">
        <f>SUMPRODUCT(D103:P103,$D$149:$P$149)</f>
        <v>408.63158787789507</v>
      </c>
      <c r="U91" s="3">
        <f>SUMPRODUCT(D103:P103,$D$150:$P$150)</f>
        <v>408.63133457094108</v>
      </c>
      <c r="X91" s="2">
        <v>20607</v>
      </c>
      <c r="Y91" s="3">
        <v>374</v>
      </c>
      <c r="Z91" s="3">
        <f t="shared" si="9"/>
        <v>352.8672799737551</v>
      </c>
      <c r="AA91" s="3"/>
    </row>
    <row r="92" spans="1:27" x14ac:dyDescent="0.3">
      <c r="A92" s="2">
        <v>20637</v>
      </c>
      <c r="B92" s="3">
        <v>413</v>
      </c>
      <c r="D92" s="3">
        <v>1</v>
      </c>
      <c r="E92" s="3">
        <v>364</v>
      </c>
      <c r="F92" s="3">
        <v>347</v>
      </c>
      <c r="G92" s="3">
        <v>312</v>
      </c>
      <c r="H92" s="3">
        <v>274</v>
      </c>
      <c r="I92" s="3">
        <v>237</v>
      </c>
      <c r="J92" s="3">
        <v>278</v>
      </c>
      <c r="K92" s="3">
        <v>284</v>
      </c>
      <c r="L92" s="3">
        <v>277</v>
      </c>
      <c r="M92" s="3">
        <v>317</v>
      </c>
      <c r="N92" s="3">
        <v>313</v>
      </c>
      <c r="O92" s="3">
        <v>318</v>
      </c>
      <c r="P92" s="3">
        <v>374</v>
      </c>
      <c r="R92" s="3">
        <v>413</v>
      </c>
      <c r="T92" s="3">
        <f>SUMPRODUCT(D104:P104,$D$149:$P$149)</f>
        <v>458.43465158763075</v>
      </c>
      <c r="U92" s="3">
        <f>SUMPRODUCT(D104:P104,$D$150:$P$150)</f>
        <v>458.43539022693477</v>
      </c>
      <c r="X92" s="2">
        <v>20637</v>
      </c>
      <c r="Y92" s="3">
        <v>413</v>
      </c>
      <c r="Z92" s="3">
        <f t="shared" si="9"/>
        <v>407.81321280473219</v>
      </c>
      <c r="AA92" s="3"/>
    </row>
    <row r="93" spans="1:27" x14ac:dyDescent="0.3">
      <c r="A93" s="2">
        <v>20668</v>
      </c>
      <c r="B93" s="3">
        <v>405</v>
      </c>
      <c r="D93" s="3">
        <v>1</v>
      </c>
      <c r="E93" s="3">
        <v>347</v>
      </c>
      <c r="F93" s="3">
        <v>312</v>
      </c>
      <c r="G93" s="3">
        <v>274</v>
      </c>
      <c r="H93" s="3">
        <v>237</v>
      </c>
      <c r="I93" s="3">
        <v>278</v>
      </c>
      <c r="J93" s="3">
        <v>284</v>
      </c>
      <c r="K93" s="3">
        <v>277</v>
      </c>
      <c r="L93" s="3">
        <v>317</v>
      </c>
      <c r="M93" s="3">
        <v>313</v>
      </c>
      <c r="N93" s="3">
        <v>318</v>
      </c>
      <c r="O93" s="3">
        <v>374</v>
      </c>
      <c r="P93" s="3">
        <v>413</v>
      </c>
      <c r="R93" s="3">
        <v>405</v>
      </c>
      <c r="T93" s="3">
        <f>SUMPRODUCT(D105:P105,$D$149:$P$149)</f>
        <v>455.1644829494673</v>
      </c>
      <c r="U93" s="3">
        <f>SUMPRODUCT(D105:P105,$D$150:$P$150)</f>
        <v>455.16585101902609</v>
      </c>
      <c r="X93" s="2">
        <v>20668</v>
      </c>
      <c r="Y93" s="3">
        <v>405</v>
      </c>
      <c r="Z93" s="3">
        <f t="shared" si="9"/>
        <v>391.41566708849092</v>
      </c>
      <c r="AA93" s="3"/>
    </row>
    <row r="94" spans="1:27" x14ac:dyDescent="0.3">
      <c r="A94" s="2">
        <v>20699</v>
      </c>
      <c r="B94" s="3">
        <v>355</v>
      </c>
      <c r="D94" s="3">
        <v>1</v>
      </c>
      <c r="E94" s="3">
        <v>312</v>
      </c>
      <c r="F94" s="3">
        <v>274</v>
      </c>
      <c r="G94" s="3">
        <v>237</v>
      </c>
      <c r="H94" s="3">
        <v>278</v>
      </c>
      <c r="I94" s="3">
        <v>284</v>
      </c>
      <c r="J94" s="3">
        <v>277</v>
      </c>
      <c r="K94" s="3">
        <v>317</v>
      </c>
      <c r="L94" s="3">
        <v>313</v>
      </c>
      <c r="M94" s="3">
        <v>318</v>
      </c>
      <c r="N94" s="3">
        <v>374</v>
      </c>
      <c r="O94" s="3">
        <v>413</v>
      </c>
      <c r="P94" s="3">
        <v>405</v>
      </c>
      <c r="R94" s="3">
        <v>355</v>
      </c>
      <c r="T94" s="3">
        <f>SUMPRODUCT(D106:P106,$D$149:$P$149)</f>
        <v>406.81581595542332</v>
      </c>
      <c r="U94" s="3">
        <f>SUMPRODUCT(D106:P106,$D$150:$P$150)</f>
        <v>406.81758203382526</v>
      </c>
      <c r="X94" s="2">
        <v>20699</v>
      </c>
      <c r="Y94" s="3">
        <v>355</v>
      </c>
      <c r="Z94" s="3">
        <f t="shared" si="9"/>
        <v>361.80881498586365</v>
      </c>
      <c r="AA94" s="3"/>
    </row>
    <row r="95" spans="1:27" x14ac:dyDescent="0.3">
      <c r="A95" s="2">
        <v>20729</v>
      </c>
      <c r="B95" s="3">
        <v>306</v>
      </c>
      <c r="D95" s="3">
        <v>1</v>
      </c>
      <c r="E95" s="3">
        <v>274</v>
      </c>
      <c r="F95" s="3">
        <v>237</v>
      </c>
      <c r="G95" s="3">
        <v>278</v>
      </c>
      <c r="H95" s="3">
        <v>284</v>
      </c>
      <c r="I95" s="3">
        <v>277</v>
      </c>
      <c r="J95" s="3">
        <v>317</v>
      </c>
      <c r="K95" s="3">
        <v>313</v>
      </c>
      <c r="L95" s="3">
        <v>318</v>
      </c>
      <c r="M95" s="3">
        <v>374</v>
      </c>
      <c r="N95" s="3">
        <v>413</v>
      </c>
      <c r="O95" s="3">
        <v>405</v>
      </c>
      <c r="P95" s="3">
        <v>355</v>
      </c>
      <c r="R95" s="3">
        <v>306</v>
      </c>
      <c r="T95" s="3">
        <f>SUMPRODUCT(D107:P107,$D$149:$P$149)</f>
        <v>343.2418049318045</v>
      </c>
      <c r="U95" s="3">
        <f>SUMPRODUCT(D107:P107,$D$150:$P$150)</f>
        <v>343.24136738028403</v>
      </c>
      <c r="X95" s="2">
        <v>20729</v>
      </c>
      <c r="Y95" s="3">
        <v>306</v>
      </c>
      <c r="Z95" s="3">
        <f t="shared" si="9"/>
        <v>302.42802417608436</v>
      </c>
      <c r="AA95" s="3"/>
    </row>
    <row r="96" spans="1:27" x14ac:dyDescent="0.3">
      <c r="A96" s="2">
        <v>20760</v>
      </c>
      <c r="B96" s="3">
        <v>271</v>
      </c>
      <c r="D96" s="3">
        <v>1</v>
      </c>
      <c r="E96" s="3">
        <v>237</v>
      </c>
      <c r="F96" s="3">
        <v>278</v>
      </c>
      <c r="G96" s="3">
        <v>284</v>
      </c>
      <c r="H96" s="3">
        <v>277</v>
      </c>
      <c r="I96" s="3">
        <v>317</v>
      </c>
      <c r="J96" s="3">
        <v>313</v>
      </c>
      <c r="K96" s="3">
        <v>318</v>
      </c>
      <c r="L96" s="3">
        <v>374</v>
      </c>
      <c r="M96" s="3">
        <v>413</v>
      </c>
      <c r="N96" s="3">
        <v>405</v>
      </c>
      <c r="O96" s="3">
        <v>355</v>
      </c>
      <c r="P96" s="3">
        <v>306</v>
      </c>
      <c r="R96" s="3">
        <v>271</v>
      </c>
      <c r="T96" s="3">
        <f>SUMPRODUCT(D108:P108,$D$149:$P$149)</f>
        <v>309.67842527095212</v>
      </c>
      <c r="U96" s="3">
        <f>SUMPRODUCT(D108:P108,$D$150:$P$150)</f>
        <v>309.67783694939942</v>
      </c>
      <c r="X96" s="2">
        <v>20760</v>
      </c>
      <c r="Y96" s="3">
        <v>271</v>
      </c>
      <c r="Z96" s="3">
        <f t="shared" si="9"/>
        <v>276.41126738962214</v>
      </c>
      <c r="AA96" s="3"/>
    </row>
    <row r="97" spans="1:27" x14ac:dyDescent="0.3">
      <c r="A97" s="2">
        <v>20790</v>
      </c>
      <c r="B97" s="3">
        <v>306</v>
      </c>
      <c r="D97" s="3">
        <v>1</v>
      </c>
      <c r="E97" s="3">
        <v>278</v>
      </c>
      <c r="F97" s="3">
        <v>284</v>
      </c>
      <c r="G97" s="3">
        <v>277</v>
      </c>
      <c r="H97" s="3">
        <v>317</v>
      </c>
      <c r="I97" s="3">
        <v>313</v>
      </c>
      <c r="J97" s="3">
        <v>318</v>
      </c>
      <c r="K97" s="3">
        <v>374</v>
      </c>
      <c r="L97" s="3">
        <v>413</v>
      </c>
      <c r="M97" s="3">
        <v>405</v>
      </c>
      <c r="N97" s="3">
        <v>355</v>
      </c>
      <c r="O97" s="3">
        <v>306</v>
      </c>
      <c r="P97" s="3">
        <v>271</v>
      </c>
      <c r="R97" s="3">
        <v>306</v>
      </c>
      <c r="T97" s="3">
        <f>SUMPRODUCT(D109:P109,$D$149:$P$149)</f>
        <v>332.513943435746</v>
      </c>
      <c r="U97" s="3">
        <f>SUMPRODUCT(D109:P109,$D$150:$P$150)</f>
        <v>332.51377232329014</v>
      </c>
      <c r="X97" s="2">
        <v>20790</v>
      </c>
      <c r="Y97" s="3">
        <v>306</v>
      </c>
      <c r="Z97" s="3">
        <f t="shared" si="9"/>
        <v>300.27406989174631</v>
      </c>
      <c r="AA97" s="3"/>
    </row>
    <row r="98" spans="1:27" x14ac:dyDescent="0.3">
      <c r="A98" s="2">
        <v>20821</v>
      </c>
      <c r="B98" s="3">
        <v>315</v>
      </c>
      <c r="D98" s="3">
        <v>1</v>
      </c>
      <c r="E98" s="3">
        <v>284</v>
      </c>
      <c r="F98" s="3">
        <v>277</v>
      </c>
      <c r="G98" s="3">
        <v>317</v>
      </c>
      <c r="H98" s="3">
        <v>313</v>
      </c>
      <c r="I98" s="3">
        <v>318</v>
      </c>
      <c r="J98" s="3">
        <v>374</v>
      </c>
      <c r="K98" s="3">
        <v>413</v>
      </c>
      <c r="L98" s="3">
        <v>405</v>
      </c>
      <c r="M98" s="3">
        <v>355</v>
      </c>
      <c r="N98" s="3">
        <v>306</v>
      </c>
      <c r="O98" s="3">
        <v>271</v>
      </c>
      <c r="P98" s="3">
        <v>306</v>
      </c>
      <c r="R98" s="3">
        <v>315</v>
      </c>
      <c r="T98" s="3">
        <f>SUMPRODUCT(D110:P110,$D$149:$P$149)</f>
        <v>345.52938792801342</v>
      </c>
      <c r="U98" s="3">
        <f>SUMPRODUCT(D110:P110,$D$150:$P$150)</f>
        <v>345.53050940330593</v>
      </c>
      <c r="X98" s="2">
        <v>20821</v>
      </c>
      <c r="Y98" s="3">
        <v>315</v>
      </c>
      <c r="Z98" s="3">
        <f t="shared" si="9"/>
        <v>315.57677609163375</v>
      </c>
      <c r="AA98" s="3"/>
    </row>
    <row r="99" spans="1:27" x14ac:dyDescent="0.3">
      <c r="A99" s="2">
        <v>20852</v>
      </c>
      <c r="B99" s="3">
        <v>301</v>
      </c>
      <c r="D99" s="3">
        <v>1</v>
      </c>
      <c r="E99" s="3">
        <v>277</v>
      </c>
      <c r="F99" s="3">
        <v>317</v>
      </c>
      <c r="G99" s="3">
        <v>313</v>
      </c>
      <c r="H99" s="3">
        <v>318</v>
      </c>
      <c r="I99" s="3">
        <v>374</v>
      </c>
      <c r="J99" s="3">
        <v>413</v>
      </c>
      <c r="K99" s="3">
        <v>405</v>
      </c>
      <c r="L99" s="3">
        <v>355</v>
      </c>
      <c r="M99" s="3">
        <v>306</v>
      </c>
      <c r="N99" s="3">
        <v>271</v>
      </c>
      <c r="O99" s="3">
        <v>306</v>
      </c>
      <c r="P99" s="3">
        <v>315</v>
      </c>
      <c r="R99" s="3">
        <v>301</v>
      </c>
      <c r="T99" s="3">
        <f>SUMPRODUCT(D111:P111,$D$149:$P$149)</f>
        <v>332.64741208005898</v>
      </c>
      <c r="U99" s="3">
        <f>SUMPRODUCT(D111:P111,$D$150:$P$150)</f>
        <v>332.6480598890297</v>
      </c>
      <c r="X99" s="2">
        <v>20852</v>
      </c>
      <c r="Y99" s="3">
        <v>301</v>
      </c>
      <c r="Z99" s="3">
        <f t="shared" si="9"/>
        <v>308.67919765235365</v>
      </c>
      <c r="AA99" s="3"/>
    </row>
    <row r="100" spans="1:27" x14ac:dyDescent="0.3">
      <c r="A100" s="2">
        <v>20880</v>
      </c>
      <c r="B100" s="3">
        <v>356</v>
      </c>
      <c r="D100" s="3">
        <v>1</v>
      </c>
      <c r="E100" s="3">
        <v>317</v>
      </c>
      <c r="F100" s="3">
        <v>313</v>
      </c>
      <c r="G100" s="3">
        <v>318</v>
      </c>
      <c r="H100" s="3">
        <v>374</v>
      </c>
      <c r="I100" s="3">
        <v>413</v>
      </c>
      <c r="J100" s="3">
        <v>405</v>
      </c>
      <c r="K100" s="3">
        <v>355</v>
      </c>
      <c r="L100" s="3">
        <v>306</v>
      </c>
      <c r="M100" s="3">
        <v>271</v>
      </c>
      <c r="N100" s="3">
        <v>306</v>
      </c>
      <c r="O100" s="3">
        <v>315</v>
      </c>
      <c r="P100" s="3">
        <v>301</v>
      </c>
      <c r="R100" s="3">
        <v>356</v>
      </c>
      <c r="T100" s="3">
        <f>SUMPRODUCT(D112:P112,$D$149:$P$149)</f>
        <v>371.97176420411574</v>
      </c>
      <c r="U100" s="3">
        <f>SUMPRODUCT(D112:P112,$D$150:$P$150)</f>
        <v>371.97063995381041</v>
      </c>
      <c r="X100" s="2">
        <v>20880</v>
      </c>
      <c r="Y100" s="3">
        <v>356</v>
      </c>
      <c r="Z100" s="3">
        <f t="shared" si="9"/>
        <v>337.25333721583377</v>
      </c>
      <c r="AA100" s="3"/>
    </row>
    <row r="101" spans="1:27" x14ac:dyDescent="0.3">
      <c r="A101" s="2">
        <v>20911</v>
      </c>
      <c r="B101" s="3">
        <v>348</v>
      </c>
      <c r="D101" s="3">
        <v>1</v>
      </c>
      <c r="E101" s="3">
        <v>313</v>
      </c>
      <c r="F101" s="3">
        <v>318</v>
      </c>
      <c r="G101" s="3">
        <v>374</v>
      </c>
      <c r="H101" s="3">
        <v>413</v>
      </c>
      <c r="I101" s="3">
        <v>405</v>
      </c>
      <c r="J101" s="3">
        <v>355</v>
      </c>
      <c r="K101" s="3">
        <v>306</v>
      </c>
      <c r="L101" s="3">
        <v>271</v>
      </c>
      <c r="M101" s="3">
        <v>306</v>
      </c>
      <c r="N101" s="3">
        <v>315</v>
      </c>
      <c r="O101" s="3">
        <v>301</v>
      </c>
      <c r="P101" s="3">
        <v>356</v>
      </c>
      <c r="R101" s="3">
        <v>348</v>
      </c>
      <c r="T101" s="3">
        <f>SUMPRODUCT(D113:P113,$D$149:$P$149)</f>
        <v>370.33539627304117</v>
      </c>
      <c r="U101" s="3">
        <f>SUMPRODUCT(D113:P113,$D$150:$P$150)</f>
        <v>370.3358801701861</v>
      </c>
      <c r="X101" s="2">
        <v>20911</v>
      </c>
      <c r="Y101" s="3">
        <v>348</v>
      </c>
      <c r="Z101" s="3">
        <f t="shared" si="9"/>
        <v>350.13831174027393</v>
      </c>
      <c r="AA101" s="3"/>
    </row>
    <row r="102" spans="1:27" x14ac:dyDescent="0.3">
      <c r="A102" s="2">
        <v>20941</v>
      </c>
      <c r="B102" s="3">
        <v>355</v>
      </c>
      <c r="D102" s="3">
        <v>1</v>
      </c>
      <c r="E102" s="3">
        <v>318</v>
      </c>
      <c r="F102" s="3">
        <v>374</v>
      </c>
      <c r="G102" s="3">
        <v>413</v>
      </c>
      <c r="H102" s="3">
        <v>405</v>
      </c>
      <c r="I102" s="3">
        <v>355</v>
      </c>
      <c r="J102" s="3">
        <v>306</v>
      </c>
      <c r="K102" s="3">
        <v>271</v>
      </c>
      <c r="L102" s="3">
        <v>306</v>
      </c>
      <c r="M102" s="3">
        <v>315</v>
      </c>
      <c r="N102" s="3">
        <v>301</v>
      </c>
      <c r="O102" s="3">
        <v>356</v>
      </c>
      <c r="P102" s="3">
        <v>348</v>
      </c>
      <c r="R102" s="3">
        <v>355</v>
      </c>
      <c r="T102" s="3">
        <f>SUMPRODUCT(D114:P114,$D$149:$P$149)</f>
        <v>388.08371142536691</v>
      </c>
      <c r="U102" s="3">
        <f>SUMPRODUCT(D114:P114,$D$150:$P$150)</f>
        <v>388.08393246651434</v>
      </c>
      <c r="X102" s="2">
        <v>20941</v>
      </c>
      <c r="Y102" s="3">
        <v>355</v>
      </c>
      <c r="Z102" s="3">
        <f t="shared" si="9"/>
        <v>356.76506375643794</v>
      </c>
      <c r="AA102" s="3"/>
    </row>
    <row r="103" spans="1:27" x14ac:dyDescent="0.3">
      <c r="A103" s="2">
        <v>20972</v>
      </c>
      <c r="B103" s="3">
        <v>422</v>
      </c>
      <c r="D103" s="3">
        <v>1</v>
      </c>
      <c r="E103" s="3">
        <v>374</v>
      </c>
      <c r="F103" s="3">
        <v>413</v>
      </c>
      <c r="G103" s="3">
        <v>405</v>
      </c>
      <c r="H103" s="3">
        <v>355</v>
      </c>
      <c r="I103" s="3">
        <v>306</v>
      </c>
      <c r="J103" s="3">
        <v>271</v>
      </c>
      <c r="K103" s="3">
        <v>306</v>
      </c>
      <c r="L103" s="3">
        <v>315</v>
      </c>
      <c r="M103" s="3">
        <v>301</v>
      </c>
      <c r="N103" s="3">
        <v>356</v>
      </c>
      <c r="O103" s="3">
        <v>348</v>
      </c>
      <c r="P103" s="3">
        <v>355</v>
      </c>
      <c r="R103" s="3">
        <v>422</v>
      </c>
      <c r="T103" s="3">
        <f>SUMPRODUCT(D115:P115,$D$149:$P$149)</f>
        <v>444.82706009193271</v>
      </c>
      <c r="U103" s="3">
        <f>SUMPRODUCT(D115:P115,$D$150:$P$150)</f>
        <v>444.82625790106692</v>
      </c>
      <c r="X103" s="2">
        <v>20972</v>
      </c>
      <c r="Y103" s="3">
        <v>422</v>
      </c>
      <c r="Z103" s="3">
        <f t="shared" si="9"/>
        <v>408.63133457094108</v>
      </c>
      <c r="AA103" s="3"/>
    </row>
    <row r="104" spans="1:27" x14ac:dyDescent="0.3">
      <c r="A104" s="2">
        <v>21002</v>
      </c>
      <c r="B104" s="3">
        <v>465</v>
      </c>
      <c r="D104" s="3">
        <v>1</v>
      </c>
      <c r="E104" s="3">
        <v>413</v>
      </c>
      <c r="F104" s="3">
        <v>405</v>
      </c>
      <c r="G104" s="3">
        <v>355</v>
      </c>
      <c r="H104" s="3">
        <v>306</v>
      </c>
      <c r="I104" s="3">
        <v>271</v>
      </c>
      <c r="J104" s="3">
        <v>306</v>
      </c>
      <c r="K104" s="3">
        <v>315</v>
      </c>
      <c r="L104" s="3">
        <v>301</v>
      </c>
      <c r="M104" s="3">
        <v>356</v>
      </c>
      <c r="N104" s="3">
        <v>348</v>
      </c>
      <c r="O104" s="3">
        <v>355</v>
      </c>
      <c r="P104" s="3">
        <v>422</v>
      </c>
      <c r="R104" s="3">
        <v>465</v>
      </c>
      <c r="T104" s="3">
        <f>SUMPRODUCT(D116:P116,$D$149:$P$149)</f>
        <v>504.79616624363513</v>
      </c>
      <c r="U104" s="3">
        <f>SUMPRODUCT(D116:P116,$D$150:$P$150)</f>
        <v>504.79650650481892</v>
      </c>
      <c r="X104" s="2">
        <v>21002</v>
      </c>
      <c r="Y104" s="3">
        <v>465</v>
      </c>
      <c r="Z104" s="3">
        <f t="shared" si="9"/>
        <v>458.43539022693477</v>
      </c>
      <c r="AA104" s="3"/>
    </row>
    <row r="105" spans="1:27" x14ac:dyDescent="0.3">
      <c r="A105" s="2">
        <v>21033</v>
      </c>
      <c r="B105" s="3">
        <v>467</v>
      </c>
      <c r="D105" s="3">
        <v>1</v>
      </c>
      <c r="E105" s="3">
        <v>405</v>
      </c>
      <c r="F105" s="3">
        <v>355</v>
      </c>
      <c r="G105" s="3">
        <v>306</v>
      </c>
      <c r="H105" s="3">
        <v>271</v>
      </c>
      <c r="I105" s="3">
        <v>306</v>
      </c>
      <c r="J105" s="3">
        <v>315</v>
      </c>
      <c r="K105" s="3">
        <v>301</v>
      </c>
      <c r="L105" s="3">
        <v>356</v>
      </c>
      <c r="M105" s="3">
        <v>348</v>
      </c>
      <c r="N105" s="3">
        <v>355</v>
      </c>
      <c r="O105" s="3">
        <v>422</v>
      </c>
      <c r="P105" s="3">
        <v>465</v>
      </c>
      <c r="R105" s="3">
        <v>467</v>
      </c>
      <c r="T105" s="3">
        <f>SUMPRODUCT(D117:P117,$D$149:$P$149)</f>
        <v>509.15511567872943</v>
      </c>
      <c r="U105" s="3">
        <f>SUMPRODUCT(D117:P117,$D$150:$P$150)</f>
        <v>509.15604793384261</v>
      </c>
      <c r="X105" s="2">
        <v>21033</v>
      </c>
      <c r="Y105" s="3">
        <v>467</v>
      </c>
      <c r="Z105" s="3">
        <f t="shared" si="9"/>
        <v>455.16585101902609</v>
      </c>
      <c r="AA105" s="3"/>
    </row>
    <row r="106" spans="1:27" x14ac:dyDescent="0.3">
      <c r="A106" s="2">
        <v>21064</v>
      </c>
      <c r="B106" s="3">
        <v>404</v>
      </c>
      <c r="D106" s="3">
        <v>1</v>
      </c>
      <c r="E106" s="3">
        <v>355</v>
      </c>
      <c r="F106" s="3">
        <v>306</v>
      </c>
      <c r="G106" s="3">
        <v>271</v>
      </c>
      <c r="H106" s="3">
        <v>306</v>
      </c>
      <c r="I106" s="3">
        <v>315</v>
      </c>
      <c r="J106" s="3">
        <v>301</v>
      </c>
      <c r="K106" s="3">
        <v>356</v>
      </c>
      <c r="L106" s="3">
        <v>348</v>
      </c>
      <c r="M106" s="3">
        <v>355</v>
      </c>
      <c r="N106" s="3">
        <v>422</v>
      </c>
      <c r="O106" s="3">
        <v>465</v>
      </c>
      <c r="P106" s="3">
        <v>467</v>
      </c>
      <c r="R106" s="3">
        <v>404</v>
      </c>
      <c r="T106" s="3">
        <f>SUMPRODUCT(D118:P118,$D$149:$P$149)</f>
        <v>454.22619579053458</v>
      </c>
      <c r="U106" s="3">
        <f>SUMPRODUCT(D118:P118,$D$150:$P$150)</f>
        <v>454.2279317618229</v>
      </c>
      <c r="X106" s="2">
        <v>21064</v>
      </c>
      <c r="Y106" s="3">
        <v>404</v>
      </c>
      <c r="Z106" s="3">
        <f t="shared" si="9"/>
        <v>406.81758203382526</v>
      </c>
      <c r="AA106" s="3"/>
    </row>
    <row r="107" spans="1:27" x14ac:dyDescent="0.3">
      <c r="A107" s="2">
        <v>21094</v>
      </c>
      <c r="B107" s="3">
        <v>347</v>
      </c>
      <c r="D107" s="3">
        <v>1</v>
      </c>
      <c r="E107" s="3">
        <v>306</v>
      </c>
      <c r="F107" s="3">
        <v>271</v>
      </c>
      <c r="G107" s="3">
        <v>306</v>
      </c>
      <c r="H107" s="3">
        <v>315</v>
      </c>
      <c r="I107" s="3">
        <v>301</v>
      </c>
      <c r="J107" s="3">
        <v>356</v>
      </c>
      <c r="K107" s="3">
        <v>348</v>
      </c>
      <c r="L107" s="3">
        <v>355</v>
      </c>
      <c r="M107" s="3">
        <v>422</v>
      </c>
      <c r="N107" s="3">
        <v>465</v>
      </c>
      <c r="O107" s="3">
        <v>467</v>
      </c>
      <c r="P107" s="3">
        <v>404</v>
      </c>
      <c r="R107" s="3">
        <v>347</v>
      </c>
      <c r="T107" s="3">
        <f>SUMPRODUCT(D119:P119,$D$149:$P$149)</f>
        <v>364.76427214478588</v>
      </c>
      <c r="U107" s="3">
        <f>SUMPRODUCT(D119:P119,$D$150:$P$150)</f>
        <v>364.76222874831024</v>
      </c>
      <c r="X107" s="2">
        <v>21094</v>
      </c>
      <c r="Y107" s="3">
        <v>347</v>
      </c>
      <c r="Z107" s="3">
        <f t="shared" si="9"/>
        <v>343.24136738028403</v>
      </c>
      <c r="AA107" s="3"/>
    </row>
    <row r="108" spans="1:27" x14ac:dyDescent="0.3">
      <c r="A108" s="2">
        <v>21125</v>
      </c>
      <c r="B108" s="3">
        <v>305</v>
      </c>
      <c r="D108" s="3">
        <v>1</v>
      </c>
      <c r="E108" s="3">
        <v>271</v>
      </c>
      <c r="F108" s="3">
        <v>306</v>
      </c>
      <c r="G108" s="3">
        <v>315</v>
      </c>
      <c r="H108" s="3">
        <v>301</v>
      </c>
      <c r="I108" s="3">
        <v>356</v>
      </c>
      <c r="J108" s="3">
        <v>348</v>
      </c>
      <c r="K108" s="3">
        <v>355</v>
      </c>
      <c r="L108" s="3">
        <v>422</v>
      </c>
      <c r="M108" s="3">
        <v>465</v>
      </c>
      <c r="N108" s="3">
        <v>467</v>
      </c>
      <c r="O108" s="3">
        <v>404</v>
      </c>
      <c r="P108" s="3">
        <v>347</v>
      </c>
      <c r="R108" s="3">
        <v>305</v>
      </c>
      <c r="T108" s="3">
        <f>SUMPRODUCT(D120:P120,$D$149:$P$149)</f>
        <v>345.00958398151806</v>
      </c>
      <c r="U108" s="3">
        <f>SUMPRODUCT(D120:P120,$D$150:$P$150)</f>
        <v>345.00880863714087</v>
      </c>
      <c r="X108" s="2">
        <v>21125</v>
      </c>
      <c r="Y108" s="3">
        <v>305</v>
      </c>
      <c r="Z108" s="3">
        <f t="shared" si="9"/>
        <v>309.67783694939942</v>
      </c>
      <c r="AA108" s="3"/>
    </row>
    <row r="109" spans="1:27" x14ac:dyDescent="0.3">
      <c r="A109" s="2">
        <v>21155</v>
      </c>
      <c r="B109" s="3">
        <v>336</v>
      </c>
      <c r="D109" s="3">
        <v>1</v>
      </c>
      <c r="E109" s="3">
        <v>306</v>
      </c>
      <c r="F109" s="3">
        <v>315</v>
      </c>
      <c r="G109" s="3">
        <v>301</v>
      </c>
      <c r="H109" s="3">
        <v>356</v>
      </c>
      <c r="I109" s="3">
        <v>348</v>
      </c>
      <c r="J109" s="3">
        <v>355</v>
      </c>
      <c r="K109" s="3">
        <v>422</v>
      </c>
      <c r="L109" s="3">
        <v>465</v>
      </c>
      <c r="M109" s="3">
        <v>467</v>
      </c>
      <c r="N109" s="3">
        <v>404</v>
      </c>
      <c r="O109" s="3">
        <v>347</v>
      </c>
      <c r="P109" s="3">
        <v>305</v>
      </c>
      <c r="R109" s="3">
        <v>336</v>
      </c>
      <c r="T109" s="3">
        <f>SUMPRODUCT(D121:P121,$D$149:$P$149)</f>
        <v>349.06146233985731</v>
      </c>
      <c r="U109" s="3">
        <f>SUMPRODUCT(D121:P121,$D$150:$P$150)</f>
        <v>349.06061064071378</v>
      </c>
      <c r="X109" s="2">
        <v>21155</v>
      </c>
      <c r="Y109" s="3">
        <v>336</v>
      </c>
      <c r="Z109" s="3">
        <f t="shared" si="9"/>
        <v>332.51377232329014</v>
      </c>
      <c r="AA109" s="3"/>
    </row>
    <row r="110" spans="1:27" x14ac:dyDescent="0.3">
      <c r="A110" s="2">
        <v>21186</v>
      </c>
      <c r="B110" s="3">
        <v>340</v>
      </c>
      <c r="D110" s="3">
        <v>1</v>
      </c>
      <c r="E110" s="3">
        <v>315</v>
      </c>
      <c r="F110" s="3">
        <v>301</v>
      </c>
      <c r="G110" s="3">
        <v>356</v>
      </c>
      <c r="H110" s="3">
        <v>348</v>
      </c>
      <c r="I110" s="3">
        <v>355</v>
      </c>
      <c r="J110" s="3">
        <v>422</v>
      </c>
      <c r="K110" s="3">
        <v>465</v>
      </c>
      <c r="L110" s="3">
        <v>467</v>
      </c>
      <c r="M110" s="3">
        <v>404</v>
      </c>
      <c r="N110" s="3">
        <v>347</v>
      </c>
      <c r="O110" s="3">
        <v>305</v>
      </c>
      <c r="P110" s="3">
        <v>336</v>
      </c>
      <c r="R110" s="3">
        <v>340</v>
      </c>
      <c r="T110" s="3">
        <f>SUMPRODUCT(D122:P122,$D$149:$P$149)</f>
        <v>369.80672036309295</v>
      </c>
      <c r="U110" s="3">
        <f>SUMPRODUCT(D122:P122,$D$150:$P$150)</f>
        <v>369.80764820245867</v>
      </c>
      <c r="X110" s="2">
        <v>21186</v>
      </c>
      <c r="Y110" s="3">
        <v>340</v>
      </c>
      <c r="Z110" s="3">
        <f t="shared" si="9"/>
        <v>345.53050940330593</v>
      </c>
      <c r="AA110" s="3"/>
    </row>
    <row r="111" spans="1:27" x14ac:dyDescent="0.3">
      <c r="A111" s="2">
        <v>21217</v>
      </c>
      <c r="B111" s="3">
        <v>318</v>
      </c>
      <c r="D111" s="3">
        <v>1</v>
      </c>
      <c r="E111" s="3">
        <v>301</v>
      </c>
      <c r="F111" s="3">
        <v>356</v>
      </c>
      <c r="G111" s="3">
        <v>348</v>
      </c>
      <c r="H111" s="3">
        <v>355</v>
      </c>
      <c r="I111" s="3">
        <v>422</v>
      </c>
      <c r="J111" s="3">
        <v>465</v>
      </c>
      <c r="K111" s="3">
        <v>467</v>
      </c>
      <c r="L111" s="3">
        <v>404</v>
      </c>
      <c r="M111" s="3">
        <v>347</v>
      </c>
      <c r="N111" s="3">
        <v>305</v>
      </c>
      <c r="O111" s="3">
        <v>336</v>
      </c>
      <c r="P111" s="3">
        <v>340</v>
      </c>
      <c r="R111" s="3">
        <v>318</v>
      </c>
      <c r="T111" s="3">
        <f>SUMPRODUCT(D123:P123,$D$149:$P$149)</f>
        <v>345.5326936397725</v>
      </c>
      <c r="U111" s="3">
        <f>SUMPRODUCT(D123:P123,$D$150:$P$150)</f>
        <v>345.5335017976231</v>
      </c>
      <c r="X111" s="2">
        <v>21217</v>
      </c>
      <c r="Y111" s="3">
        <v>318</v>
      </c>
      <c r="Z111" s="3">
        <f t="shared" si="9"/>
        <v>332.6480598890297</v>
      </c>
      <c r="AA111" s="3"/>
    </row>
    <row r="112" spans="1:27" x14ac:dyDescent="0.3">
      <c r="A112" s="2">
        <v>21245</v>
      </c>
      <c r="B112" s="3">
        <v>362</v>
      </c>
      <c r="D112" s="3">
        <v>1</v>
      </c>
      <c r="E112" s="3">
        <v>356</v>
      </c>
      <c r="F112" s="3">
        <v>348</v>
      </c>
      <c r="G112" s="3">
        <v>355</v>
      </c>
      <c r="H112" s="3">
        <v>422</v>
      </c>
      <c r="I112" s="3">
        <v>465</v>
      </c>
      <c r="J112" s="3">
        <v>467</v>
      </c>
      <c r="K112" s="3">
        <v>404</v>
      </c>
      <c r="L112" s="3">
        <v>347</v>
      </c>
      <c r="M112" s="3">
        <v>305</v>
      </c>
      <c r="N112" s="3">
        <v>336</v>
      </c>
      <c r="O112" s="3">
        <v>340</v>
      </c>
      <c r="P112" s="3">
        <v>318</v>
      </c>
      <c r="R112" s="3">
        <v>362</v>
      </c>
      <c r="T112" s="3">
        <f>SUMPRODUCT(D124:P124,$D$149:$P$149)</f>
        <v>388.21867894116787</v>
      </c>
      <c r="U112" s="3">
        <f>SUMPRODUCT(D124:P124,$D$150:$P$150)</f>
        <v>388.21808919758519</v>
      </c>
      <c r="X112" s="2">
        <v>21245</v>
      </c>
      <c r="Y112" s="3">
        <v>362</v>
      </c>
      <c r="Z112" s="3">
        <f t="shared" si="9"/>
        <v>371.97063995381041</v>
      </c>
      <c r="AA112" s="3"/>
    </row>
    <row r="113" spans="1:27" x14ac:dyDescent="0.3">
      <c r="A113" s="2">
        <v>21276</v>
      </c>
      <c r="B113" s="3">
        <v>348</v>
      </c>
      <c r="D113" s="3">
        <v>1</v>
      </c>
      <c r="E113" s="3">
        <v>348</v>
      </c>
      <c r="F113" s="3">
        <v>355</v>
      </c>
      <c r="G113" s="3">
        <v>422</v>
      </c>
      <c r="H113" s="3">
        <v>465</v>
      </c>
      <c r="I113" s="3">
        <v>467</v>
      </c>
      <c r="J113" s="3">
        <v>404</v>
      </c>
      <c r="K113" s="3">
        <v>347</v>
      </c>
      <c r="L113" s="3">
        <v>305</v>
      </c>
      <c r="M113" s="3">
        <v>336</v>
      </c>
      <c r="N113" s="3">
        <v>340</v>
      </c>
      <c r="O113" s="3">
        <v>318</v>
      </c>
      <c r="P113" s="3">
        <v>362</v>
      </c>
      <c r="R113" s="3">
        <v>348</v>
      </c>
      <c r="T113" s="3">
        <f>SUMPRODUCT(D125:P125,$D$149:$P$149)</f>
        <v>382.35001408439189</v>
      </c>
      <c r="U113" s="3">
        <f>SUMPRODUCT(D125:P125,$D$150:$P$150)</f>
        <v>382.35175992279414</v>
      </c>
      <c r="X113" s="2">
        <v>21276</v>
      </c>
      <c r="Y113" s="3">
        <v>348</v>
      </c>
      <c r="Z113" s="3">
        <f t="shared" si="9"/>
        <v>370.3358801701861</v>
      </c>
      <c r="AA113" s="3"/>
    </row>
    <row r="114" spans="1:27" x14ac:dyDescent="0.3">
      <c r="A114" s="2">
        <v>21306</v>
      </c>
      <c r="B114" s="3">
        <v>363</v>
      </c>
      <c r="D114" s="3">
        <v>1</v>
      </c>
      <c r="E114" s="3">
        <v>355</v>
      </c>
      <c r="F114" s="3">
        <v>422</v>
      </c>
      <c r="G114" s="3">
        <v>465</v>
      </c>
      <c r="H114" s="3">
        <v>467</v>
      </c>
      <c r="I114" s="3">
        <v>404</v>
      </c>
      <c r="J114" s="3">
        <v>347</v>
      </c>
      <c r="K114" s="3">
        <v>305</v>
      </c>
      <c r="L114" s="3">
        <v>336</v>
      </c>
      <c r="M114" s="3">
        <v>340</v>
      </c>
      <c r="N114" s="3">
        <v>318</v>
      </c>
      <c r="O114" s="3">
        <v>362</v>
      </c>
      <c r="P114" s="3">
        <v>348</v>
      </c>
      <c r="R114" s="3">
        <v>363</v>
      </c>
      <c r="T114" s="3">
        <f>SUMPRODUCT(D126:P126,$D$149:$P$149)</f>
        <v>415.72881367153411</v>
      </c>
      <c r="U114" s="3">
        <f>SUMPRODUCT(D126:P126,$D$150:$P$150)</f>
        <v>415.73025082505126</v>
      </c>
      <c r="X114" s="2">
        <v>21306</v>
      </c>
      <c r="Y114" s="3">
        <v>363</v>
      </c>
      <c r="Z114" s="3">
        <f t="shared" si="9"/>
        <v>388.08393246651434</v>
      </c>
      <c r="AA114" s="3"/>
    </row>
    <row r="115" spans="1:27" x14ac:dyDescent="0.3">
      <c r="A115" s="2">
        <v>21337</v>
      </c>
      <c r="B115" s="3">
        <v>435</v>
      </c>
      <c r="D115" s="3">
        <v>1</v>
      </c>
      <c r="E115" s="3">
        <v>422</v>
      </c>
      <c r="F115" s="3">
        <v>465</v>
      </c>
      <c r="G115" s="3">
        <v>467</v>
      </c>
      <c r="H115" s="3">
        <v>404</v>
      </c>
      <c r="I115" s="3">
        <v>347</v>
      </c>
      <c r="J115" s="3">
        <v>305</v>
      </c>
      <c r="K115" s="3">
        <v>336</v>
      </c>
      <c r="L115" s="3">
        <v>340</v>
      </c>
      <c r="M115" s="3">
        <v>318</v>
      </c>
      <c r="N115" s="3">
        <v>362</v>
      </c>
      <c r="O115" s="3">
        <v>348</v>
      </c>
      <c r="P115" s="3">
        <v>363</v>
      </c>
      <c r="R115" s="3">
        <v>435</v>
      </c>
      <c r="T115" s="3">
        <f>SUMPRODUCT(D127:P127,$D$149:$P$149)</f>
        <v>470.94373474864926</v>
      </c>
      <c r="U115" s="3">
        <f>SUMPRODUCT(D127:P127,$D$150:$P$150)</f>
        <v>470.94360419203286</v>
      </c>
      <c r="X115" s="2">
        <v>21337</v>
      </c>
      <c r="Y115" s="3">
        <v>435</v>
      </c>
      <c r="Z115" s="3">
        <f t="shared" si="9"/>
        <v>444.82625790106692</v>
      </c>
      <c r="AA115" s="3"/>
    </row>
    <row r="116" spans="1:27" x14ac:dyDescent="0.3">
      <c r="A116" s="2">
        <v>21367</v>
      </c>
      <c r="B116" s="3">
        <v>491</v>
      </c>
      <c r="D116" s="3">
        <v>1</v>
      </c>
      <c r="E116" s="3">
        <v>465</v>
      </c>
      <c r="F116" s="3">
        <v>467</v>
      </c>
      <c r="G116" s="3">
        <v>404</v>
      </c>
      <c r="H116" s="3">
        <v>347</v>
      </c>
      <c r="I116" s="3">
        <v>305</v>
      </c>
      <c r="J116" s="3">
        <v>336</v>
      </c>
      <c r="K116" s="3">
        <v>340</v>
      </c>
      <c r="L116" s="3">
        <v>318</v>
      </c>
      <c r="M116" s="3">
        <v>362</v>
      </c>
      <c r="N116" s="3">
        <v>348</v>
      </c>
      <c r="O116" s="3">
        <v>363</v>
      </c>
      <c r="P116" s="3">
        <v>435</v>
      </c>
      <c r="R116" s="3">
        <v>491</v>
      </c>
      <c r="T116" s="3">
        <f>SUMPRODUCT(D128:P128,$D$149:$P$149)</f>
        <v>539.04063257807616</v>
      </c>
      <c r="U116" s="3">
        <f>SUMPRODUCT(D128:P128,$D$150:$P$150)</f>
        <v>539.04106701993101</v>
      </c>
      <c r="X116" s="2">
        <v>21367</v>
      </c>
      <c r="Y116" s="3">
        <v>491</v>
      </c>
      <c r="Z116" s="3">
        <f t="shared" si="9"/>
        <v>504.79650650481892</v>
      </c>
      <c r="AA116" s="3"/>
    </row>
    <row r="117" spans="1:27" x14ac:dyDescent="0.3">
      <c r="A117" s="2">
        <v>21398</v>
      </c>
      <c r="B117" s="3">
        <v>505</v>
      </c>
      <c r="D117" s="3">
        <v>1</v>
      </c>
      <c r="E117" s="3">
        <v>467</v>
      </c>
      <c r="F117" s="3">
        <v>404</v>
      </c>
      <c r="G117" s="3">
        <v>347</v>
      </c>
      <c r="H117" s="3">
        <v>305</v>
      </c>
      <c r="I117" s="3">
        <v>336</v>
      </c>
      <c r="J117" s="3">
        <v>340</v>
      </c>
      <c r="K117" s="3">
        <v>318</v>
      </c>
      <c r="L117" s="3">
        <v>362</v>
      </c>
      <c r="M117" s="3">
        <v>348</v>
      </c>
      <c r="N117" s="3">
        <v>363</v>
      </c>
      <c r="O117" s="3">
        <v>435</v>
      </c>
      <c r="P117" s="3">
        <v>491</v>
      </c>
      <c r="R117" s="3">
        <v>505</v>
      </c>
      <c r="T117" s="3">
        <f>SUMPRODUCT(D129:P129,$D$149:$P$149)</f>
        <v>557.05384427710419</v>
      </c>
      <c r="U117" s="3">
        <f>SUMPRODUCT(D129:P129,$D$150:$P$150)</f>
        <v>557.05547138567476</v>
      </c>
      <c r="X117" s="2">
        <v>21398</v>
      </c>
      <c r="Y117" s="3">
        <v>505</v>
      </c>
      <c r="Z117" s="3">
        <f t="shared" si="9"/>
        <v>509.15604793384261</v>
      </c>
      <c r="AA117" s="3"/>
    </row>
    <row r="118" spans="1:27" x14ac:dyDescent="0.3">
      <c r="A118" s="2">
        <v>21429</v>
      </c>
      <c r="B118" s="3">
        <v>404</v>
      </c>
      <c r="D118" s="3">
        <v>1</v>
      </c>
      <c r="E118" s="3">
        <v>404</v>
      </c>
      <c r="F118" s="3">
        <v>347</v>
      </c>
      <c r="G118" s="3">
        <v>305</v>
      </c>
      <c r="H118" s="3">
        <v>336</v>
      </c>
      <c r="I118" s="3">
        <v>340</v>
      </c>
      <c r="J118" s="3">
        <v>318</v>
      </c>
      <c r="K118" s="3">
        <v>362</v>
      </c>
      <c r="L118" s="3">
        <v>348</v>
      </c>
      <c r="M118" s="3">
        <v>363</v>
      </c>
      <c r="N118" s="3">
        <v>435</v>
      </c>
      <c r="O118" s="3">
        <v>491</v>
      </c>
      <c r="P118" s="3">
        <v>505</v>
      </c>
      <c r="R118" s="3">
        <v>404</v>
      </c>
      <c r="T118" s="3">
        <f>SUMPRODUCT(D130:P130,$D$149:$P$149)</f>
        <v>462.53746552825817</v>
      </c>
      <c r="U118" s="3">
        <f>SUMPRODUCT(D130:P130,$D$150:$P$150)</f>
        <v>462.54004877509897</v>
      </c>
      <c r="X118" s="2">
        <v>21429</v>
      </c>
      <c r="Y118" s="3">
        <v>404</v>
      </c>
      <c r="Z118" s="3">
        <f t="shared" si="9"/>
        <v>454.2279317618229</v>
      </c>
      <c r="AA118" s="3"/>
    </row>
    <row r="119" spans="1:27" x14ac:dyDescent="0.3">
      <c r="A119" s="2">
        <v>21459</v>
      </c>
      <c r="B119" s="3">
        <v>359</v>
      </c>
      <c r="D119" s="3">
        <v>1</v>
      </c>
      <c r="E119" s="3">
        <v>347</v>
      </c>
      <c r="F119" s="3">
        <v>305</v>
      </c>
      <c r="G119" s="3">
        <v>336</v>
      </c>
      <c r="H119" s="3">
        <v>340</v>
      </c>
      <c r="I119" s="3">
        <v>318</v>
      </c>
      <c r="J119" s="3">
        <v>362</v>
      </c>
      <c r="K119" s="3">
        <v>348</v>
      </c>
      <c r="L119" s="3">
        <v>363</v>
      </c>
      <c r="M119" s="3">
        <v>435</v>
      </c>
      <c r="N119" s="3">
        <v>491</v>
      </c>
      <c r="O119" s="3">
        <v>505</v>
      </c>
      <c r="P119" s="3">
        <v>404</v>
      </c>
      <c r="R119" s="3">
        <v>359</v>
      </c>
      <c r="T119" s="3">
        <f>SUMPRODUCT(D131:P131,$D$149:$P$149)</f>
        <v>405.10582389184765</v>
      </c>
      <c r="U119" s="3">
        <f>SUMPRODUCT(D131:P131,$D$150:$P$150)</f>
        <v>405.10535954533248</v>
      </c>
      <c r="X119" s="2">
        <v>21459</v>
      </c>
      <c r="Y119" s="3">
        <v>359</v>
      </c>
      <c r="Z119" s="3">
        <f t="shared" si="9"/>
        <v>364.76222874831024</v>
      </c>
      <c r="AA119" s="3"/>
    </row>
    <row r="120" spans="1:27" x14ac:dyDescent="0.3">
      <c r="A120" s="2">
        <v>21490</v>
      </c>
      <c r="B120" s="3">
        <v>310</v>
      </c>
      <c r="D120" s="3">
        <v>1</v>
      </c>
      <c r="E120" s="3">
        <v>305</v>
      </c>
      <c r="F120" s="3">
        <v>336</v>
      </c>
      <c r="G120" s="3">
        <v>340</v>
      </c>
      <c r="H120" s="3">
        <v>318</v>
      </c>
      <c r="I120" s="3">
        <v>362</v>
      </c>
      <c r="J120" s="3">
        <v>348</v>
      </c>
      <c r="K120" s="3">
        <v>363</v>
      </c>
      <c r="L120" s="3">
        <v>435</v>
      </c>
      <c r="M120" s="3">
        <v>491</v>
      </c>
      <c r="N120" s="3">
        <v>505</v>
      </c>
      <c r="O120" s="3">
        <v>404</v>
      </c>
      <c r="P120" s="3">
        <v>359</v>
      </c>
      <c r="R120" s="3">
        <v>310</v>
      </c>
      <c r="T120" s="3">
        <f>SUMPRODUCT(D132:P132,$D$149:$P$149)</f>
        <v>344.87405800350297</v>
      </c>
      <c r="U120" s="3">
        <f>SUMPRODUCT(D132:P132,$D$150:$P$150)</f>
        <v>344.87336685043658</v>
      </c>
      <c r="X120" s="2">
        <v>21490</v>
      </c>
      <c r="Y120" s="3">
        <v>310</v>
      </c>
      <c r="Z120" s="3">
        <f t="shared" si="9"/>
        <v>345.00880863714087</v>
      </c>
      <c r="AA120" s="3"/>
    </row>
    <row r="121" spans="1:27" x14ac:dyDescent="0.3">
      <c r="A121" s="2">
        <v>21520</v>
      </c>
      <c r="B121" s="3">
        <v>337</v>
      </c>
      <c r="D121" s="3">
        <v>1</v>
      </c>
      <c r="E121" s="3">
        <v>336</v>
      </c>
      <c r="F121" s="3">
        <v>340</v>
      </c>
      <c r="G121" s="3">
        <v>318</v>
      </c>
      <c r="H121" s="3">
        <v>362</v>
      </c>
      <c r="I121" s="3">
        <v>348</v>
      </c>
      <c r="J121" s="3">
        <v>363</v>
      </c>
      <c r="K121" s="3">
        <v>435</v>
      </c>
      <c r="L121" s="3">
        <v>491</v>
      </c>
      <c r="M121" s="3">
        <v>505</v>
      </c>
      <c r="N121" s="3">
        <v>404</v>
      </c>
      <c r="O121" s="3">
        <v>359</v>
      </c>
      <c r="P121" s="3">
        <v>310</v>
      </c>
      <c r="R121" s="3">
        <v>337</v>
      </c>
      <c r="T121" s="3">
        <f>SUMPRODUCT(D133:P133,$D$149:$P$149)</f>
        <v>384.04108773700796</v>
      </c>
      <c r="U121" s="3">
        <f>SUMPRODUCT(D133:P133,$D$150:$P$150)</f>
        <v>384.04194138559308</v>
      </c>
      <c r="X121" s="2">
        <v>21520</v>
      </c>
      <c r="Y121" s="3">
        <v>337</v>
      </c>
      <c r="Z121" s="3">
        <f t="shared" si="9"/>
        <v>349.06061064071378</v>
      </c>
      <c r="AA121" s="3"/>
    </row>
    <row r="122" spans="1:27" x14ac:dyDescent="0.3">
      <c r="A122" s="2">
        <v>21551</v>
      </c>
      <c r="B122" s="3">
        <v>360</v>
      </c>
      <c r="D122" s="3">
        <v>1</v>
      </c>
      <c r="E122" s="3">
        <v>340</v>
      </c>
      <c r="F122" s="3">
        <v>318</v>
      </c>
      <c r="G122" s="3">
        <v>362</v>
      </c>
      <c r="H122" s="3">
        <v>348</v>
      </c>
      <c r="I122" s="3">
        <v>363</v>
      </c>
      <c r="J122" s="3">
        <v>435</v>
      </c>
      <c r="K122" s="3">
        <v>491</v>
      </c>
      <c r="L122" s="3">
        <v>505</v>
      </c>
      <c r="M122" s="3">
        <v>404</v>
      </c>
      <c r="N122" s="3">
        <v>359</v>
      </c>
      <c r="O122" s="3">
        <v>310</v>
      </c>
      <c r="P122" s="3">
        <v>337</v>
      </c>
      <c r="R122" s="3">
        <v>360</v>
      </c>
      <c r="T122" s="12">
        <f>SUMPRODUCT(D134:P134,$D$149:$P$149)</f>
        <v>384.04555086056519</v>
      </c>
      <c r="U122" s="12">
        <f>SUMPRODUCT(D134:P134,$D$150:$P$150)</f>
        <v>384.04675580871549</v>
      </c>
      <c r="X122" s="2">
        <v>21551</v>
      </c>
      <c r="Y122" s="3">
        <v>360</v>
      </c>
      <c r="Z122" s="3">
        <f t="shared" si="9"/>
        <v>369.80764820245867</v>
      </c>
      <c r="AA122" s="3"/>
    </row>
    <row r="123" spans="1:27" x14ac:dyDescent="0.3">
      <c r="A123" s="2">
        <v>21582</v>
      </c>
      <c r="B123" s="3">
        <v>342</v>
      </c>
      <c r="D123" s="3">
        <v>1</v>
      </c>
      <c r="E123" s="3">
        <v>318</v>
      </c>
      <c r="F123" s="3">
        <v>362</v>
      </c>
      <c r="G123" s="3">
        <v>348</v>
      </c>
      <c r="H123" s="3">
        <v>363</v>
      </c>
      <c r="I123" s="3">
        <v>435</v>
      </c>
      <c r="J123" s="3">
        <v>491</v>
      </c>
      <c r="K123" s="3">
        <v>505</v>
      </c>
      <c r="L123" s="3">
        <v>404</v>
      </c>
      <c r="M123" s="3">
        <v>359</v>
      </c>
      <c r="N123" s="3">
        <v>310</v>
      </c>
      <c r="O123" s="3">
        <v>337</v>
      </c>
      <c r="P123" s="3">
        <v>360</v>
      </c>
      <c r="R123" s="3">
        <v>342</v>
      </c>
      <c r="T123" s="8">
        <f>SUMPRODUCT(D135:P135,$D$149:$P$149)</f>
        <v>382.1018171198989</v>
      </c>
      <c r="U123" s="8">
        <f>SUMPRODUCT(D135:P135,$D$150:$P$150)</f>
        <v>382.10288043398577</v>
      </c>
      <c r="X123" s="2">
        <v>21582</v>
      </c>
      <c r="Y123" s="3">
        <v>342</v>
      </c>
      <c r="Z123" s="3">
        <f t="shared" si="9"/>
        <v>345.5335017976231</v>
      </c>
      <c r="AA123" s="3"/>
    </row>
    <row r="124" spans="1:27" x14ac:dyDescent="0.3">
      <c r="A124" s="2">
        <v>21610</v>
      </c>
      <c r="B124" s="3">
        <v>406</v>
      </c>
      <c r="D124" s="3">
        <v>1</v>
      </c>
      <c r="E124" s="3">
        <v>362</v>
      </c>
      <c r="F124" s="3">
        <v>348</v>
      </c>
      <c r="G124" s="3">
        <v>363</v>
      </c>
      <c r="H124" s="3">
        <v>435</v>
      </c>
      <c r="I124" s="3">
        <v>491</v>
      </c>
      <c r="J124" s="3">
        <v>505</v>
      </c>
      <c r="K124" s="3">
        <v>404</v>
      </c>
      <c r="L124" s="3">
        <v>359</v>
      </c>
      <c r="M124" s="3">
        <v>310</v>
      </c>
      <c r="N124" s="3">
        <v>337</v>
      </c>
      <c r="O124" s="3">
        <v>360</v>
      </c>
      <c r="P124" s="3">
        <v>342</v>
      </c>
      <c r="R124" s="3">
        <v>406</v>
      </c>
      <c r="T124" s="8">
        <f>SUMPRODUCT(D136:P136,$D$149:$P$149)</f>
        <v>426.38884737686158</v>
      </c>
      <c r="U124" s="8">
        <f>SUMPRODUCT(D136:P136,$D$150:$P$150)</f>
        <v>426.38812602264795</v>
      </c>
      <c r="X124" s="2">
        <v>21610</v>
      </c>
      <c r="Y124" s="3">
        <v>406</v>
      </c>
      <c r="Z124" s="3">
        <f t="shared" si="9"/>
        <v>388.21808919758519</v>
      </c>
      <c r="AA124" s="3"/>
    </row>
    <row r="125" spans="1:27" x14ac:dyDescent="0.3">
      <c r="A125" s="2">
        <v>21641</v>
      </c>
      <c r="B125" s="3">
        <v>396</v>
      </c>
      <c r="D125" s="3">
        <v>1</v>
      </c>
      <c r="E125" s="3">
        <v>348</v>
      </c>
      <c r="F125" s="3">
        <v>363</v>
      </c>
      <c r="G125" s="3">
        <v>435</v>
      </c>
      <c r="H125" s="3">
        <v>491</v>
      </c>
      <c r="I125" s="3">
        <v>505</v>
      </c>
      <c r="J125" s="3">
        <v>404</v>
      </c>
      <c r="K125" s="3">
        <v>359</v>
      </c>
      <c r="L125" s="3">
        <v>310</v>
      </c>
      <c r="M125" s="3">
        <v>337</v>
      </c>
      <c r="N125" s="3">
        <v>360</v>
      </c>
      <c r="O125" s="3">
        <v>342</v>
      </c>
      <c r="P125" s="3">
        <v>406</v>
      </c>
      <c r="R125" s="3">
        <v>396</v>
      </c>
      <c r="T125" s="8">
        <f>SUMPRODUCT(D137:P137,$D$149:$P$149)</f>
        <v>428.3528196016581</v>
      </c>
      <c r="U125" s="8">
        <f>SUMPRODUCT(D137:P137,$D$150:$P$150)</f>
        <v>428.35423134574842</v>
      </c>
      <c r="X125" s="2">
        <v>21641</v>
      </c>
      <c r="Y125" s="3">
        <v>396</v>
      </c>
      <c r="Z125" s="3">
        <f t="shared" si="9"/>
        <v>382.35175992279414</v>
      </c>
      <c r="AA125" s="3"/>
    </row>
    <row r="126" spans="1:27" x14ac:dyDescent="0.3">
      <c r="A126" s="2">
        <v>21671</v>
      </c>
      <c r="B126" s="3">
        <v>420</v>
      </c>
      <c r="D126" s="3">
        <v>1</v>
      </c>
      <c r="E126" s="3">
        <v>363</v>
      </c>
      <c r="F126" s="3">
        <v>435</v>
      </c>
      <c r="G126" s="3">
        <v>491</v>
      </c>
      <c r="H126" s="3">
        <v>505</v>
      </c>
      <c r="I126" s="3">
        <v>404</v>
      </c>
      <c r="J126" s="3">
        <v>359</v>
      </c>
      <c r="K126" s="3">
        <v>310</v>
      </c>
      <c r="L126" s="3">
        <v>337</v>
      </c>
      <c r="M126" s="3">
        <v>360</v>
      </c>
      <c r="N126" s="3">
        <v>342</v>
      </c>
      <c r="O126" s="3">
        <v>406</v>
      </c>
      <c r="P126" s="3">
        <v>396</v>
      </c>
      <c r="R126" s="3">
        <v>420</v>
      </c>
      <c r="T126" s="8">
        <f>SUMPRODUCT(D138:P138,$D$149:$P$149)</f>
        <v>463.93170476557236</v>
      </c>
      <c r="U126" s="8">
        <f>SUMPRODUCT(D138:P138,$D$150:$P$150)</f>
        <v>463.93292781960582</v>
      </c>
      <c r="X126" s="2">
        <v>21671</v>
      </c>
      <c r="Y126" s="3">
        <v>420</v>
      </c>
      <c r="Z126" s="3">
        <f t="shared" si="9"/>
        <v>415.73025082505126</v>
      </c>
      <c r="AA126" s="3"/>
    </row>
    <row r="127" spans="1:27" x14ac:dyDescent="0.3">
      <c r="A127" s="2">
        <v>21702</v>
      </c>
      <c r="B127" s="3">
        <v>472</v>
      </c>
      <c r="D127" s="3">
        <v>1</v>
      </c>
      <c r="E127" s="3">
        <v>435</v>
      </c>
      <c r="F127" s="3">
        <v>491</v>
      </c>
      <c r="G127" s="3">
        <v>505</v>
      </c>
      <c r="H127" s="3">
        <v>404</v>
      </c>
      <c r="I127" s="3">
        <v>359</v>
      </c>
      <c r="J127" s="3">
        <v>310</v>
      </c>
      <c r="K127" s="3">
        <v>337</v>
      </c>
      <c r="L127" s="3">
        <v>360</v>
      </c>
      <c r="M127" s="3">
        <v>342</v>
      </c>
      <c r="N127" s="3">
        <v>406</v>
      </c>
      <c r="O127" s="3">
        <v>396</v>
      </c>
      <c r="P127" s="3">
        <v>420</v>
      </c>
      <c r="R127" s="3">
        <v>472</v>
      </c>
      <c r="T127" s="8">
        <f>SUMPRODUCT(D139:P139,$D$149:$P$149)</f>
        <v>513.24818201040841</v>
      </c>
      <c r="U127" s="8">
        <f>SUMPRODUCT(D139:P139,$D$150:$P$150)</f>
        <v>513.24857812433766</v>
      </c>
      <c r="X127" s="2">
        <v>21702</v>
      </c>
      <c r="Y127" s="3">
        <v>472</v>
      </c>
      <c r="Z127" s="3">
        <f t="shared" si="9"/>
        <v>470.94360419203286</v>
      </c>
      <c r="AA127" s="3"/>
    </row>
    <row r="128" spans="1:27" x14ac:dyDescent="0.3">
      <c r="A128" s="2">
        <v>21732</v>
      </c>
      <c r="B128" s="3">
        <v>548</v>
      </c>
      <c r="D128" s="3">
        <v>1</v>
      </c>
      <c r="E128" s="3">
        <v>491</v>
      </c>
      <c r="F128" s="3">
        <v>505</v>
      </c>
      <c r="G128" s="3">
        <v>404</v>
      </c>
      <c r="H128" s="3">
        <v>359</v>
      </c>
      <c r="I128" s="3">
        <v>310</v>
      </c>
      <c r="J128" s="3">
        <v>337</v>
      </c>
      <c r="K128" s="3">
        <v>360</v>
      </c>
      <c r="L128" s="3">
        <v>342</v>
      </c>
      <c r="M128" s="3">
        <v>406</v>
      </c>
      <c r="N128" s="3">
        <v>396</v>
      </c>
      <c r="O128" s="3">
        <v>420</v>
      </c>
      <c r="P128" s="3">
        <v>472</v>
      </c>
      <c r="R128" s="3">
        <v>548</v>
      </c>
      <c r="T128" s="8">
        <f>SUMPRODUCT(D140:P140,$D$149:$P$149)</f>
        <v>597.18421225721636</v>
      </c>
      <c r="U128" s="8">
        <f>SUMPRODUCT(D140:P140,$D$150:$P$150)</f>
        <v>597.18451652142494</v>
      </c>
      <c r="X128" s="2">
        <v>21732</v>
      </c>
      <c r="Y128" s="3">
        <v>548</v>
      </c>
      <c r="Z128" s="3">
        <f t="shared" si="9"/>
        <v>539.04106701993101</v>
      </c>
      <c r="AA128" s="3"/>
    </row>
    <row r="129" spans="1:29" x14ac:dyDescent="0.3">
      <c r="A129" s="2">
        <v>21763</v>
      </c>
      <c r="B129" s="3">
        <v>559</v>
      </c>
      <c r="D129" s="3">
        <v>1</v>
      </c>
      <c r="E129" s="3">
        <v>505</v>
      </c>
      <c r="F129" s="3">
        <v>404</v>
      </c>
      <c r="G129" s="3">
        <v>359</v>
      </c>
      <c r="H129" s="3">
        <v>310</v>
      </c>
      <c r="I129" s="3">
        <v>337</v>
      </c>
      <c r="J129" s="3">
        <v>360</v>
      </c>
      <c r="K129" s="3">
        <v>342</v>
      </c>
      <c r="L129" s="3">
        <v>406</v>
      </c>
      <c r="M129" s="3">
        <v>396</v>
      </c>
      <c r="N129" s="3">
        <v>420</v>
      </c>
      <c r="O129" s="3">
        <v>472</v>
      </c>
      <c r="P129" s="3">
        <v>548</v>
      </c>
      <c r="R129" s="3">
        <v>559</v>
      </c>
      <c r="T129" s="8">
        <f>SUMPRODUCT(D141:P141,$D$149:$P$149)</f>
        <v>608.86493307204796</v>
      </c>
      <c r="U129" s="8">
        <f>SUMPRODUCT(D141:P141,$D$150:$P$150)</f>
        <v>608.86661638101191</v>
      </c>
      <c r="X129" s="2">
        <v>21763</v>
      </c>
      <c r="Y129" s="3">
        <v>559</v>
      </c>
      <c r="Z129" s="3">
        <f t="shared" si="9"/>
        <v>557.05547138567476</v>
      </c>
      <c r="AA129" s="3"/>
    </row>
    <row r="130" spans="1:29" x14ac:dyDescent="0.3">
      <c r="A130" s="2">
        <v>21794</v>
      </c>
      <c r="B130" s="3">
        <v>463</v>
      </c>
      <c r="D130" s="3">
        <v>1</v>
      </c>
      <c r="E130" s="3">
        <v>404</v>
      </c>
      <c r="F130" s="3">
        <v>359</v>
      </c>
      <c r="G130" s="3">
        <v>310</v>
      </c>
      <c r="H130" s="3">
        <v>337</v>
      </c>
      <c r="I130" s="3">
        <v>360</v>
      </c>
      <c r="J130" s="3">
        <v>342</v>
      </c>
      <c r="K130" s="3">
        <v>406</v>
      </c>
      <c r="L130" s="3">
        <v>396</v>
      </c>
      <c r="M130" s="3">
        <v>420</v>
      </c>
      <c r="N130" s="3">
        <v>472</v>
      </c>
      <c r="O130" s="3">
        <v>548</v>
      </c>
      <c r="P130" s="3">
        <v>559</v>
      </c>
      <c r="R130" s="3">
        <v>463</v>
      </c>
      <c r="T130" s="8">
        <f>SUMPRODUCT(D142:P142,$D$149:$P$149)</f>
        <v>526.7427057682911</v>
      </c>
      <c r="U130" s="8">
        <f>SUMPRODUCT(D142:P142,$D$150:$P$150)</f>
        <v>526.74536029505771</v>
      </c>
      <c r="X130" s="2">
        <v>21794</v>
      </c>
      <c r="Y130" s="3">
        <v>463</v>
      </c>
      <c r="Z130" s="3">
        <f t="shared" si="9"/>
        <v>462.54004877509897</v>
      </c>
      <c r="AA130" s="3"/>
    </row>
    <row r="131" spans="1:29" x14ac:dyDescent="0.3">
      <c r="A131" s="2">
        <v>21824</v>
      </c>
      <c r="B131" s="3">
        <v>407</v>
      </c>
      <c r="D131" s="3">
        <v>1</v>
      </c>
      <c r="E131" s="3">
        <v>359</v>
      </c>
      <c r="F131" s="3">
        <v>310</v>
      </c>
      <c r="G131" s="3">
        <v>337</v>
      </c>
      <c r="H131" s="3">
        <v>360</v>
      </c>
      <c r="I131" s="3">
        <v>342</v>
      </c>
      <c r="J131" s="3">
        <v>406</v>
      </c>
      <c r="K131" s="3">
        <v>396</v>
      </c>
      <c r="L131" s="3">
        <v>420</v>
      </c>
      <c r="M131" s="3">
        <v>472</v>
      </c>
      <c r="N131" s="3">
        <v>548</v>
      </c>
      <c r="O131" s="3">
        <v>559</v>
      </c>
      <c r="P131" s="3">
        <v>463</v>
      </c>
      <c r="R131" s="3">
        <v>407</v>
      </c>
      <c r="T131" s="8">
        <f>SUMPRODUCT(D143:P143,$D$149:$P$149)</f>
        <v>456.67737531397631</v>
      </c>
      <c r="U131" s="8">
        <f>SUMPRODUCT(D143:P143,$D$150:$P$150)</f>
        <v>456.67731277067361</v>
      </c>
      <c r="X131" s="2">
        <v>21824</v>
      </c>
      <c r="Y131" s="3">
        <v>407</v>
      </c>
      <c r="Z131" s="3">
        <f t="shared" si="9"/>
        <v>405.10535954533248</v>
      </c>
      <c r="AA131" s="3"/>
    </row>
    <row r="132" spans="1:29" x14ac:dyDescent="0.3">
      <c r="A132" s="2">
        <v>21855</v>
      </c>
      <c r="B132" s="3">
        <v>362</v>
      </c>
      <c r="D132" s="3">
        <v>1</v>
      </c>
      <c r="E132" s="3">
        <v>310</v>
      </c>
      <c r="F132" s="3">
        <v>337</v>
      </c>
      <c r="G132" s="3">
        <v>360</v>
      </c>
      <c r="H132" s="3">
        <v>342</v>
      </c>
      <c r="I132" s="3">
        <v>406</v>
      </c>
      <c r="J132" s="3">
        <v>396</v>
      </c>
      <c r="K132" s="3">
        <v>420</v>
      </c>
      <c r="L132" s="3">
        <v>472</v>
      </c>
      <c r="M132" s="3">
        <v>548</v>
      </c>
      <c r="N132" s="3">
        <v>559</v>
      </c>
      <c r="O132" s="3">
        <v>463</v>
      </c>
      <c r="P132" s="3">
        <v>407</v>
      </c>
      <c r="R132" s="3">
        <v>362</v>
      </c>
      <c r="T132" s="8">
        <f>SUMPRODUCT(D144:P144,$D$149:$P$149)</f>
        <v>402.52407084909009</v>
      </c>
      <c r="U132" s="8">
        <f>SUMPRODUCT(D144:P144,$D$150:$P$150)</f>
        <v>402.52351505837453</v>
      </c>
      <c r="X132" s="2">
        <v>21855</v>
      </c>
      <c r="Y132" s="3">
        <v>362</v>
      </c>
      <c r="Z132" s="3">
        <f t="shared" si="9"/>
        <v>344.87336685043658</v>
      </c>
      <c r="AA132" s="3"/>
    </row>
    <row r="133" spans="1:29" x14ac:dyDescent="0.3">
      <c r="A133" s="2">
        <v>21885</v>
      </c>
      <c r="B133" s="3">
        <v>405</v>
      </c>
      <c r="D133" s="3">
        <v>1</v>
      </c>
      <c r="E133" s="3">
        <v>337</v>
      </c>
      <c r="F133" s="3">
        <v>360</v>
      </c>
      <c r="G133" s="3">
        <v>342</v>
      </c>
      <c r="H133" s="3">
        <v>406</v>
      </c>
      <c r="I133" s="3">
        <v>396</v>
      </c>
      <c r="J133" s="3">
        <v>420</v>
      </c>
      <c r="K133" s="3">
        <v>472</v>
      </c>
      <c r="L133" s="3">
        <v>548</v>
      </c>
      <c r="M133" s="3">
        <v>559</v>
      </c>
      <c r="N133" s="3">
        <v>463</v>
      </c>
      <c r="O133" s="3">
        <v>407</v>
      </c>
      <c r="P133" s="3">
        <v>362</v>
      </c>
      <c r="R133" s="3">
        <v>405</v>
      </c>
      <c r="T133" s="8">
        <f>SUMPRODUCT(D145:P145,$D$149:$P$149)</f>
        <v>422.0224589682403</v>
      </c>
      <c r="U133" s="8">
        <f>SUMPRODUCT(D145:P145,$D$150:$P$150)</f>
        <v>422.02262747309624</v>
      </c>
      <c r="X133" s="2">
        <v>21885</v>
      </c>
      <c r="Y133" s="3">
        <v>405</v>
      </c>
      <c r="Z133" s="3">
        <f t="shared" si="9"/>
        <v>384.04194138559308</v>
      </c>
      <c r="AA133" s="3"/>
    </row>
    <row r="134" spans="1:29" x14ac:dyDescent="0.3">
      <c r="A134" s="19">
        <v>21916</v>
      </c>
      <c r="B134" s="20">
        <v>417</v>
      </c>
      <c r="D134" s="12">
        <v>1</v>
      </c>
      <c r="E134" s="12">
        <f t="shared" ref="E134:E145" si="10">F133</f>
        <v>360</v>
      </c>
      <c r="F134" s="12">
        <f t="shared" ref="F134:F145" si="11">G133</f>
        <v>342</v>
      </c>
      <c r="G134" s="12">
        <f t="shared" ref="G134:G145" si="12">H133</f>
        <v>406</v>
      </c>
      <c r="H134" s="12">
        <f t="shared" ref="H134:H145" si="13">I133</f>
        <v>396</v>
      </c>
      <c r="I134" s="12">
        <f t="shared" ref="I134:I145" si="14">J133</f>
        <v>420</v>
      </c>
      <c r="J134" s="12">
        <f t="shared" ref="J134:J145" si="15">K133</f>
        <v>472</v>
      </c>
      <c r="K134" s="12">
        <f t="shared" ref="K134:K145" si="16">L133</f>
        <v>548</v>
      </c>
      <c r="L134" s="12">
        <f t="shared" ref="L134:L145" si="17">M133</f>
        <v>559</v>
      </c>
      <c r="M134" s="12">
        <f t="shared" ref="M134:M145" si="18">N133</f>
        <v>463</v>
      </c>
      <c r="N134" s="12">
        <f t="shared" ref="N134:N145" si="19">O133</f>
        <v>407</v>
      </c>
      <c r="O134" s="12">
        <f t="shared" ref="O134" si="20">P133</f>
        <v>362</v>
      </c>
      <c r="P134" s="12">
        <f t="shared" ref="P134:P145" si="21">U121</f>
        <v>384.04194138559308</v>
      </c>
      <c r="R134" s="12"/>
      <c r="X134" s="4">
        <v>21916</v>
      </c>
      <c r="Y134" s="5">
        <v>417</v>
      </c>
      <c r="Z134" s="13">
        <f>AA134</f>
        <v>384.04675580871549</v>
      </c>
      <c r="AA134" s="5">
        <f>U122</f>
        <v>384.04675580871549</v>
      </c>
    </row>
    <row r="135" spans="1:29" x14ac:dyDescent="0.3">
      <c r="A135" s="19">
        <v>21947</v>
      </c>
      <c r="B135" s="20">
        <v>391</v>
      </c>
      <c r="D135" s="8">
        <v>1</v>
      </c>
      <c r="E135" s="8">
        <f t="shared" si="10"/>
        <v>342</v>
      </c>
      <c r="F135" s="8">
        <f t="shared" si="11"/>
        <v>406</v>
      </c>
      <c r="G135" s="8">
        <f t="shared" si="12"/>
        <v>396</v>
      </c>
      <c r="H135" s="8">
        <f t="shared" si="13"/>
        <v>420</v>
      </c>
      <c r="I135" s="8">
        <f t="shared" si="14"/>
        <v>472</v>
      </c>
      <c r="J135" s="8">
        <f t="shared" si="15"/>
        <v>548</v>
      </c>
      <c r="K135" s="8">
        <f t="shared" si="16"/>
        <v>559</v>
      </c>
      <c r="L135" s="8">
        <f t="shared" si="17"/>
        <v>463</v>
      </c>
      <c r="M135" s="8">
        <f t="shared" si="18"/>
        <v>407</v>
      </c>
      <c r="N135" s="8">
        <f t="shared" si="19"/>
        <v>362</v>
      </c>
      <c r="O135" s="8">
        <f t="shared" ref="O135" si="22">P134</f>
        <v>384.04194138559308</v>
      </c>
      <c r="P135" s="8">
        <f t="shared" si="21"/>
        <v>384.04675580871549</v>
      </c>
      <c r="R135" s="8"/>
      <c r="X135" s="4">
        <v>21947</v>
      </c>
      <c r="Y135" s="5">
        <v>391</v>
      </c>
      <c r="Z135" s="13">
        <f t="shared" ref="Z135:Z145" si="23">AA135</f>
        <v>382.10288043398577</v>
      </c>
      <c r="AA135" s="5">
        <f t="shared" ref="AA135:AA145" si="24">U123</f>
        <v>382.10288043398577</v>
      </c>
    </row>
    <row r="136" spans="1:29" x14ac:dyDescent="0.3">
      <c r="A136" s="19">
        <v>21976</v>
      </c>
      <c r="B136" s="20">
        <v>419</v>
      </c>
      <c r="D136" s="8">
        <v>1</v>
      </c>
      <c r="E136" s="8">
        <f t="shared" si="10"/>
        <v>406</v>
      </c>
      <c r="F136" s="8">
        <f t="shared" si="11"/>
        <v>396</v>
      </c>
      <c r="G136" s="8">
        <f t="shared" si="12"/>
        <v>420</v>
      </c>
      <c r="H136" s="8">
        <f t="shared" si="13"/>
        <v>472</v>
      </c>
      <c r="I136" s="8">
        <f t="shared" si="14"/>
        <v>548</v>
      </c>
      <c r="J136" s="8">
        <f t="shared" si="15"/>
        <v>559</v>
      </c>
      <c r="K136" s="8">
        <f t="shared" si="16"/>
        <v>463</v>
      </c>
      <c r="L136" s="8">
        <f t="shared" si="17"/>
        <v>407</v>
      </c>
      <c r="M136" s="8">
        <f t="shared" si="18"/>
        <v>362</v>
      </c>
      <c r="N136" s="8">
        <f t="shared" si="19"/>
        <v>384.04194138559308</v>
      </c>
      <c r="O136" s="8">
        <f t="shared" ref="O136:O145" si="25">P135</f>
        <v>384.04675580871549</v>
      </c>
      <c r="P136" s="8">
        <f t="shared" si="21"/>
        <v>382.10288043398577</v>
      </c>
      <c r="R136" s="8"/>
      <c r="T136" s="1" t="s">
        <v>29</v>
      </c>
      <c r="U136" s="1" t="s">
        <v>29</v>
      </c>
      <c r="X136" s="4">
        <v>21976</v>
      </c>
      <c r="Y136" s="5">
        <v>419</v>
      </c>
      <c r="Z136" s="13">
        <f t="shared" si="23"/>
        <v>426.38812602264795</v>
      </c>
      <c r="AA136" s="5">
        <f t="shared" si="24"/>
        <v>426.38812602264795</v>
      </c>
    </row>
    <row r="137" spans="1:29" x14ac:dyDescent="0.3">
      <c r="A137" s="19">
        <v>22007</v>
      </c>
      <c r="B137" s="20">
        <v>461</v>
      </c>
      <c r="D137" s="8">
        <v>1</v>
      </c>
      <c r="E137" s="8">
        <f t="shared" si="10"/>
        <v>396</v>
      </c>
      <c r="F137" s="8">
        <f t="shared" si="11"/>
        <v>420</v>
      </c>
      <c r="G137" s="8">
        <f t="shared" si="12"/>
        <v>472</v>
      </c>
      <c r="H137" s="8">
        <f t="shared" si="13"/>
        <v>548</v>
      </c>
      <c r="I137" s="8">
        <f t="shared" si="14"/>
        <v>559</v>
      </c>
      <c r="J137" s="8">
        <f t="shared" si="15"/>
        <v>463</v>
      </c>
      <c r="K137" s="8">
        <f t="shared" si="16"/>
        <v>407</v>
      </c>
      <c r="L137" s="8">
        <f t="shared" si="17"/>
        <v>362</v>
      </c>
      <c r="M137" s="8">
        <f t="shared" si="18"/>
        <v>384.04194138559308</v>
      </c>
      <c r="N137" s="8">
        <f t="shared" si="19"/>
        <v>384.04675580871549</v>
      </c>
      <c r="O137" s="8">
        <f t="shared" si="25"/>
        <v>382.10288043398577</v>
      </c>
      <c r="P137" s="8">
        <f t="shared" si="21"/>
        <v>426.38812602264795</v>
      </c>
      <c r="R137" s="8"/>
      <c r="T137" s="3">
        <f t="array" ref="T137">SUM( (R14:R133-T2:T121)^2 )</f>
        <v>19933.308182813176</v>
      </c>
      <c r="U137" s="3">
        <f t="array" ref="U137">SUM( (R14:R133-U2:U121)^2 )</f>
        <v>19933.308099416314</v>
      </c>
      <c r="X137" s="4">
        <v>22007</v>
      </c>
      <c r="Y137" s="5">
        <v>461</v>
      </c>
      <c r="Z137" s="13">
        <f t="shared" si="23"/>
        <v>428.35423134574842</v>
      </c>
      <c r="AA137" s="5">
        <f t="shared" si="24"/>
        <v>428.35423134574842</v>
      </c>
    </row>
    <row r="138" spans="1:29" x14ac:dyDescent="0.3">
      <c r="A138" s="19">
        <v>22037</v>
      </c>
      <c r="B138" s="20">
        <v>472</v>
      </c>
      <c r="D138" s="8">
        <v>1</v>
      </c>
      <c r="E138" s="8">
        <f t="shared" si="10"/>
        <v>420</v>
      </c>
      <c r="F138" s="8">
        <f t="shared" si="11"/>
        <v>472</v>
      </c>
      <c r="G138" s="8">
        <f t="shared" si="12"/>
        <v>548</v>
      </c>
      <c r="H138" s="8">
        <f t="shared" si="13"/>
        <v>559</v>
      </c>
      <c r="I138" s="8">
        <f t="shared" si="14"/>
        <v>463</v>
      </c>
      <c r="J138" s="8">
        <f t="shared" si="15"/>
        <v>407</v>
      </c>
      <c r="K138" s="8">
        <f t="shared" si="16"/>
        <v>362</v>
      </c>
      <c r="L138" s="8">
        <f t="shared" si="17"/>
        <v>384.04194138559308</v>
      </c>
      <c r="M138" s="8">
        <f t="shared" si="18"/>
        <v>384.04675580871549</v>
      </c>
      <c r="N138" s="8">
        <f t="shared" si="19"/>
        <v>382.10288043398577</v>
      </c>
      <c r="O138" s="8">
        <f t="shared" si="25"/>
        <v>426.38812602264795</v>
      </c>
      <c r="P138" s="8">
        <f t="shared" si="21"/>
        <v>428.35423134574842</v>
      </c>
      <c r="R138" s="8"/>
      <c r="X138" s="4">
        <v>22037</v>
      </c>
      <c r="Y138" s="5">
        <v>472</v>
      </c>
      <c r="Z138" s="13">
        <f t="shared" si="23"/>
        <v>463.93292781960582</v>
      </c>
      <c r="AA138" s="5">
        <f t="shared" si="24"/>
        <v>463.93292781960582</v>
      </c>
    </row>
    <row r="139" spans="1:29" x14ac:dyDescent="0.3">
      <c r="A139" s="19">
        <v>22068</v>
      </c>
      <c r="B139" s="20">
        <v>535</v>
      </c>
      <c r="D139" s="8">
        <v>1</v>
      </c>
      <c r="E139" s="8">
        <f t="shared" si="10"/>
        <v>472</v>
      </c>
      <c r="F139" s="8">
        <f t="shared" si="11"/>
        <v>548</v>
      </c>
      <c r="G139" s="8">
        <f t="shared" si="12"/>
        <v>559</v>
      </c>
      <c r="H139" s="8">
        <f t="shared" si="13"/>
        <v>463</v>
      </c>
      <c r="I139" s="8">
        <f t="shared" si="14"/>
        <v>407</v>
      </c>
      <c r="J139" s="8">
        <f t="shared" si="15"/>
        <v>362</v>
      </c>
      <c r="K139" s="8">
        <f t="shared" si="16"/>
        <v>384.04194138559308</v>
      </c>
      <c r="L139" s="8">
        <f t="shared" si="17"/>
        <v>384.04675580871549</v>
      </c>
      <c r="M139" s="8">
        <f t="shared" si="18"/>
        <v>382.10288043398577</v>
      </c>
      <c r="N139" s="8">
        <f t="shared" si="19"/>
        <v>426.38812602264795</v>
      </c>
      <c r="O139" s="8">
        <f t="shared" si="25"/>
        <v>428.35423134574842</v>
      </c>
      <c r="P139" s="8">
        <f t="shared" si="21"/>
        <v>463.93292781960582</v>
      </c>
      <c r="R139" s="8"/>
      <c r="X139" s="4">
        <v>22068</v>
      </c>
      <c r="Y139" s="5">
        <v>535</v>
      </c>
      <c r="Z139" s="13">
        <f t="shared" si="23"/>
        <v>513.24857812433766</v>
      </c>
      <c r="AA139" s="5">
        <f t="shared" si="24"/>
        <v>513.24857812433766</v>
      </c>
    </row>
    <row r="140" spans="1:29" x14ac:dyDescent="0.3">
      <c r="A140" s="19">
        <v>22098</v>
      </c>
      <c r="B140" s="20">
        <v>622</v>
      </c>
      <c r="D140" s="8">
        <v>1</v>
      </c>
      <c r="E140" s="8">
        <f t="shared" si="10"/>
        <v>548</v>
      </c>
      <c r="F140" s="8">
        <f t="shared" si="11"/>
        <v>559</v>
      </c>
      <c r="G140" s="8">
        <f t="shared" si="12"/>
        <v>463</v>
      </c>
      <c r="H140" s="8">
        <f t="shared" si="13"/>
        <v>407</v>
      </c>
      <c r="I140" s="8">
        <f t="shared" si="14"/>
        <v>362</v>
      </c>
      <c r="J140" s="8">
        <f t="shared" si="15"/>
        <v>384.04194138559308</v>
      </c>
      <c r="K140" s="8">
        <f t="shared" si="16"/>
        <v>384.04675580871549</v>
      </c>
      <c r="L140" s="8">
        <f t="shared" si="17"/>
        <v>382.10288043398577</v>
      </c>
      <c r="M140" s="8">
        <f t="shared" si="18"/>
        <v>426.38812602264795</v>
      </c>
      <c r="N140" s="8">
        <f t="shared" si="19"/>
        <v>428.35423134574842</v>
      </c>
      <c r="O140" s="8">
        <f t="shared" si="25"/>
        <v>463.93292781960582</v>
      </c>
      <c r="P140" s="8">
        <f t="shared" si="21"/>
        <v>513.24857812433766</v>
      </c>
      <c r="R140" s="8"/>
      <c r="X140" s="4">
        <v>22098</v>
      </c>
      <c r="Y140" s="5">
        <v>622</v>
      </c>
      <c r="Z140" s="13">
        <f t="shared" si="23"/>
        <v>597.18451652142494</v>
      </c>
      <c r="AA140" s="5">
        <f t="shared" si="24"/>
        <v>597.18451652142494</v>
      </c>
    </row>
    <row r="141" spans="1:29" x14ac:dyDescent="0.3">
      <c r="A141" s="19">
        <v>22129</v>
      </c>
      <c r="B141" s="20">
        <v>606</v>
      </c>
      <c r="D141" s="8">
        <v>1</v>
      </c>
      <c r="E141" s="8">
        <f t="shared" si="10"/>
        <v>559</v>
      </c>
      <c r="F141" s="8">
        <f t="shared" si="11"/>
        <v>463</v>
      </c>
      <c r="G141" s="8">
        <f t="shared" si="12"/>
        <v>407</v>
      </c>
      <c r="H141" s="8">
        <f t="shared" si="13"/>
        <v>362</v>
      </c>
      <c r="I141" s="8">
        <f t="shared" si="14"/>
        <v>384.04194138559308</v>
      </c>
      <c r="J141" s="8">
        <f t="shared" si="15"/>
        <v>384.04675580871549</v>
      </c>
      <c r="K141" s="8">
        <f t="shared" si="16"/>
        <v>382.10288043398577</v>
      </c>
      <c r="L141" s="8">
        <f t="shared" si="17"/>
        <v>426.38812602264795</v>
      </c>
      <c r="M141" s="8">
        <f t="shared" si="18"/>
        <v>428.35423134574842</v>
      </c>
      <c r="N141" s="8">
        <f t="shared" si="19"/>
        <v>463.93292781960582</v>
      </c>
      <c r="O141" s="8">
        <f t="shared" si="25"/>
        <v>513.24857812433766</v>
      </c>
      <c r="P141" s="8">
        <f t="shared" si="21"/>
        <v>597.18451652142494</v>
      </c>
      <c r="R141" s="8"/>
      <c r="X141" s="4">
        <v>22129</v>
      </c>
      <c r="Y141" s="5">
        <v>606</v>
      </c>
      <c r="Z141" s="13">
        <f t="shared" si="23"/>
        <v>608.86661638101191</v>
      </c>
      <c r="AA141" s="5">
        <f t="shared" si="24"/>
        <v>608.86661638101191</v>
      </c>
    </row>
    <row r="142" spans="1:29" x14ac:dyDescent="0.3">
      <c r="A142" s="19">
        <v>22160</v>
      </c>
      <c r="B142" s="20">
        <v>508</v>
      </c>
      <c r="D142" s="8">
        <v>1</v>
      </c>
      <c r="E142" s="8">
        <f t="shared" si="10"/>
        <v>463</v>
      </c>
      <c r="F142" s="8">
        <f t="shared" si="11"/>
        <v>407</v>
      </c>
      <c r="G142" s="8">
        <f t="shared" si="12"/>
        <v>362</v>
      </c>
      <c r="H142" s="8">
        <f t="shared" si="13"/>
        <v>384.04194138559308</v>
      </c>
      <c r="I142" s="8">
        <f t="shared" si="14"/>
        <v>384.04675580871549</v>
      </c>
      <c r="J142" s="8">
        <f t="shared" si="15"/>
        <v>382.10288043398577</v>
      </c>
      <c r="K142" s="8">
        <f t="shared" si="16"/>
        <v>426.38812602264795</v>
      </c>
      <c r="L142" s="8">
        <f t="shared" si="17"/>
        <v>428.35423134574842</v>
      </c>
      <c r="M142" s="8">
        <f t="shared" si="18"/>
        <v>463.93292781960582</v>
      </c>
      <c r="N142" s="8">
        <f t="shared" si="19"/>
        <v>513.24857812433766</v>
      </c>
      <c r="O142" s="8">
        <f t="shared" si="25"/>
        <v>597.18451652142494</v>
      </c>
      <c r="P142" s="8">
        <f t="shared" si="21"/>
        <v>608.86661638101191</v>
      </c>
      <c r="R142" s="8"/>
      <c r="X142" s="4">
        <v>22160</v>
      </c>
      <c r="Y142" s="5">
        <v>508</v>
      </c>
      <c r="Z142" s="13">
        <f t="shared" si="23"/>
        <v>526.74536029505771</v>
      </c>
      <c r="AA142" s="5">
        <f t="shared" si="24"/>
        <v>526.74536029505771</v>
      </c>
    </row>
    <row r="143" spans="1:29" x14ac:dyDescent="0.3">
      <c r="A143" s="19">
        <v>22190</v>
      </c>
      <c r="B143" s="20">
        <v>461</v>
      </c>
      <c r="D143" s="8">
        <v>1</v>
      </c>
      <c r="E143" s="8">
        <f t="shared" si="10"/>
        <v>407</v>
      </c>
      <c r="F143" s="8">
        <f t="shared" si="11"/>
        <v>362</v>
      </c>
      <c r="G143" s="8">
        <f t="shared" si="12"/>
        <v>384.04194138559308</v>
      </c>
      <c r="H143" s="8">
        <f t="shared" si="13"/>
        <v>384.04675580871549</v>
      </c>
      <c r="I143" s="8">
        <f t="shared" si="14"/>
        <v>382.10288043398577</v>
      </c>
      <c r="J143" s="8">
        <f t="shared" si="15"/>
        <v>426.38812602264795</v>
      </c>
      <c r="K143" s="8">
        <f t="shared" si="16"/>
        <v>428.35423134574842</v>
      </c>
      <c r="L143" s="8">
        <f t="shared" si="17"/>
        <v>463.93292781960582</v>
      </c>
      <c r="M143" s="8">
        <f t="shared" si="18"/>
        <v>513.24857812433766</v>
      </c>
      <c r="N143" s="8">
        <f t="shared" si="19"/>
        <v>597.18451652142494</v>
      </c>
      <c r="O143" s="8">
        <f t="shared" si="25"/>
        <v>608.86661638101191</v>
      </c>
      <c r="P143" s="8">
        <f t="shared" si="21"/>
        <v>526.74536029505771</v>
      </c>
      <c r="R143" s="8"/>
      <c r="X143" s="4">
        <v>22190</v>
      </c>
      <c r="Y143" s="5">
        <v>461</v>
      </c>
      <c r="Z143" s="13">
        <f t="shared" si="23"/>
        <v>456.67731277067361</v>
      </c>
      <c r="AA143" s="5">
        <f t="shared" si="24"/>
        <v>456.67731277067361</v>
      </c>
    </row>
    <row r="144" spans="1:29" x14ac:dyDescent="0.3">
      <c r="A144" s="19">
        <v>22221</v>
      </c>
      <c r="B144" s="20">
        <v>390</v>
      </c>
      <c r="D144" s="8">
        <v>1</v>
      </c>
      <c r="E144" s="8">
        <f t="shared" si="10"/>
        <v>362</v>
      </c>
      <c r="F144" s="8">
        <f t="shared" si="11"/>
        <v>384.04194138559308</v>
      </c>
      <c r="G144" s="8">
        <f t="shared" si="12"/>
        <v>384.04675580871549</v>
      </c>
      <c r="H144" s="8">
        <f t="shared" si="13"/>
        <v>382.10288043398577</v>
      </c>
      <c r="I144" s="8">
        <f t="shared" si="14"/>
        <v>426.38812602264795</v>
      </c>
      <c r="J144" s="8">
        <f t="shared" si="15"/>
        <v>428.35423134574842</v>
      </c>
      <c r="K144" s="8">
        <f t="shared" si="16"/>
        <v>463.93292781960582</v>
      </c>
      <c r="L144" s="8">
        <f t="shared" si="17"/>
        <v>513.24857812433766</v>
      </c>
      <c r="M144" s="8">
        <f t="shared" si="18"/>
        <v>597.18451652142494</v>
      </c>
      <c r="N144" s="8">
        <f t="shared" si="19"/>
        <v>608.86661638101191</v>
      </c>
      <c r="O144" s="8">
        <f t="shared" si="25"/>
        <v>526.74536029505771</v>
      </c>
      <c r="P144" s="8">
        <f t="shared" si="21"/>
        <v>456.67731277067361</v>
      </c>
      <c r="R144" s="8"/>
      <c r="X144" s="4">
        <v>22221</v>
      </c>
      <c r="Y144" s="5">
        <v>390</v>
      </c>
      <c r="Z144" s="13">
        <f t="shared" si="23"/>
        <v>402.52351505837453</v>
      </c>
      <c r="AA144" s="5">
        <f t="shared" si="24"/>
        <v>402.52351505837453</v>
      </c>
      <c r="AC144" s="6" t="s">
        <v>42</v>
      </c>
    </row>
    <row r="145" spans="1:29" x14ac:dyDescent="0.3">
      <c r="A145" s="19">
        <v>22251</v>
      </c>
      <c r="B145" s="20">
        <v>432</v>
      </c>
      <c r="D145" s="8">
        <v>1</v>
      </c>
      <c r="E145" s="8">
        <f t="shared" si="10"/>
        <v>384.04194138559308</v>
      </c>
      <c r="F145" s="8">
        <f t="shared" si="11"/>
        <v>384.04675580871549</v>
      </c>
      <c r="G145" s="8">
        <f t="shared" si="12"/>
        <v>382.10288043398577</v>
      </c>
      <c r="H145" s="8">
        <f t="shared" si="13"/>
        <v>426.38812602264795</v>
      </c>
      <c r="I145" s="8">
        <f t="shared" si="14"/>
        <v>428.35423134574842</v>
      </c>
      <c r="J145" s="8">
        <f t="shared" si="15"/>
        <v>463.93292781960582</v>
      </c>
      <c r="K145" s="8">
        <f t="shared" si="16"/>
        <v>513.24857812433766</v>
      </c>
      <c r="L145" s="8">
        <f t="shared" si="17"/>
        <v>597.18451652142494</v>
      </c>
      <c r="M145" s="8">
        <f t="shared" si="18"/>
        <v>608.86661638101191</v>
      </c>
      <c r="N145" s="8">
        <f t="shared" si="19"/>
        <v>526.74536029505771</v>
      </c>
      <c r="O145" s="8">
        <f t="shared" si="25"/>
        <v>456.67731277067361</v>
      </c>
      <c r="P145" s="8">
        <f t="shared" si="21"/>
        <v>402.52351505837453</v>
      </c>
      <c r="R145" s="8"/>
      <c r="X145" s="4">
        <v>22251</v>
      </c>
      <c r="Y145" s="5">
        <v>432</v>
      </c>
      <c r="Z145" s="13">
        <f t="shared" si="23"/>
        <v>422.02262747309624</v>
      </c>
      <c r="AA145" s="5">
        <f t="shared" si="24"/>
        <v>422.02262747309624</v>
      </c>
      <c r="AC145">
        <f t="array" ref="AC145">SUM( (Y134:Y145 - AA134:AA145)^2 )</f>
        <v>4074.0939228159273</v>
      </c>
    </row>
    <row r="148" spans="1:29" x14ac:dyDescent="0.3">
      <c r="D148" s="1" t="s">
        <v>2</v>
      </c>
      <c r="E148" s="1" t="s">
        <v>3</v>
      </c>
      <c r="F148" s="1" t="s">
        <v>4</v>
      </c>
      <c r="G148" s="1" t="s">
        <v>5</v>
      </c>
      <c r="H148" s="1" t="s">
        <v>6</v>
      </c>
      <c r="I148" s="1" t="s">
        <v>7</v>
      </c>
      <c r="J148" s="1" t="s">
        <v>8</v>
      </c>
      <c r="K148" s="1" t="s">
        <v>9</v>
      </c>
      <c r="L148" s="1" t="s">
        <v>10</v>
      </c>
      <c r="M148" s="1" t="s">
        <v>11</v>
      </c>
      <c r="N148" s="1" t="s">
        <v>12</v>
      </c>
      <c r="O148" s="1" t="s">
        <v>13</v>
      </c>
      <c r="P148" s="1" t="s">
        <v>14</v>
      </c>
    </row>
    <row r="149" spans="1:29" x14ac:dyDescent="0.3">
      <c r="D149" s="3">
        <v>10.200339870842054</v>
      </c>
      <c r="E149" s="3">
        <v>0.4937633797999465</v>
      </c>
      <c r="F149" s="3">
        <v>0.44332895540342704</v>
      </c>
      <c r="G149" s="3">
        <v>-0.37591370081922076</v>
      </c>
      <c r="H149" s="3">
        <v>0.36217369694940826</v>
      </c>
      <c r="I149" s="3">
        <v>-0.3657840609231664</v>
      </c>
      <c r="J149" s="3">
        <v>0.32079748091262728</v>
      </c>
      <c r="K149" s="3">
        <v>-0.34510279933465399</v>
      </c>
      <c r="L149" s="3">
        <v>0.32831674516371429</v>
      </c>
      <c r="M149" s="3">
        <v>-0.27156776575851799</v>
      </c>
      <c r="N149" s="3">
        <v>0.25695957284562193</v>
      </c>
      <c r="O149" s="3">
        <v>-0.34356592083969795</v>
      </c>
      <c r="P149" s="3">
        <v>0.53899433519011419</v>
      </c>
      <c r="Q149" s="6" t="s">
        <v>32</v>
      </c>
    </row>
    <row r="150" spans="1:29" x14ac:dyDescent="0.3">
      <c r="D150" s="3">
        <f t="array" ref="D150:P150" xml:space="preserve"> TRANSPOSE( MMULT( MMULT( MINVERSE( MMULT( TRANSPOSE( D14:P133 ), D14:P133 ) ), TRANSPOSE( D14:P133 ) ), R14:R133 ) )</f>
        <v>10.198978666883379</v>
      </c>
      <c r="E150" s="3">
        <v>0.49373758144617008</v>
      </c>
      <c r="F150" s="3">
        <v>0.44334072394292179</v>
      </c>
      <c r="G150" s="3">
        <v>-0.37592932526933365</v>
      </c>
      <c r="H150" s="3">
        <v>0.36219516746884911</v>
      </c>
      <c r="I150" s="3">
        <v>-0.36579674800343503</v>
      </c>
      <c r="J150" s="3">
        <v>0.32080176149005468</v>
      </c>
      <c r="K150" s="3">
        <v>-0.34511030376270968</v>
      </c>
      <c r="L150" s="3">
        <v>0.328333725898174</v>
      </c>
      <c r="M150" s="3">
        <v>-0.27157774922128081</v>
      </c>
      <c r="N150" s="3">
        <v>0.25696057317725352</v>
      </c>
      <c r="O150" s="3">
        <v>-0.3435885088622837</v>
      </c>
      <c r="P150" s="3">
        <v>0.53903597212588927</v>
      </c>
      <c r="Q150" s="6" t="s">
        <v>33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3BF3B-6935-4787-9FF2-68B37976978F}">
  <sheetPr codeName="Sheet2"/>
  <dimension ref="A1:AE181"/>
  <sheetViews>
    <sheetView tabSelected="1" topLeftCell="B1" workbookViewId="0">
      <pane ySplit="1" topLeftCell="A159" activePane="bottomLeft" state="frozen"/>
      <selection pane="bottomLeft" activeCell="K174" sqref="K174"/>
    </sheetView>
  </sheetViews>
  <sheetFormatPr defaultRowHeight="14.4" x14ac:dyDescent="0.3"/>
  <cols>
    <col min="1" max="1" width="10.5546875" bestFit="1" customWidth="1"/>
    <col min="2" max="2" width="10.6640625" bestFit="1" customWidth="1"/>
    <col min="20" max="21" width="12" bestFit="1" customWidth="1"/>
    <col min="24" max="24" width="10.5546875" bestFit="1" customWidth="1"/>
    <col min="27" max="27" width="10" bestFit="1" customWidth="1"/>
  </cols>
  <sheetData>
    <row r="1" spans="1:27" x14ac:dyDescent="0.3">
      <c r="A1" s="1" t="s">
        <v>0</v>
      </c>
      <c r="B1" s="1" t="s">
        <v>1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26</v>
      </c>
      <c r="O1" s="1" t="s">
        <v>27</v>
      </c>
      <c r="P1" s="1" t="s">
        <v>28</v>
      </c>
      <c r="R1" s="1" t="s">
        <v>15</v>
      </c>
      <c r="T1" s="1" t="s">
        <v>30</v>
      </c>
      <c r="U1" s="1" t="s">
        <v>31</v>
      </c>
      <c r="X1" s="1" t="s">
        <v>0</v>
      </c>
      <c r="Y1" s="1" t="s">
        <v>34</v>
      </c>
      <c r="Z1" s="1" t="s">
        <v>35</v>
      </c>
      <c r="AA1" s="7" t="s">
        <v>41</v>
      </c>
    </row>
    <row r="2" spans="1:27" x14ac:dyDescent="0.3">
      <c r="A2" s="2">
        <v>17899</v>
      </c>
      <c r="B2" s="3">
        <v>112</v>
      </c>
      <c r="D2" s="3">
        <v>1</v>
      </c>
      <c r="E2" s="3">
        <v>112</v>
      </c>
      <c r="F2" s="3">
        <v>118</v>
      </c>
      <c r="G2" s="3">
        <v>132</v>
      </c>
      <c r="H2" s="3">
        <v>129</v>
      </c>
      <c r="I2" s="3">
        <v>121</v>
      </c>
      <c r="J2" s="3">
        <v>135</v>
      </c>
      <c r="K2" s="3">
        <v>148</v>
      </c>
      <c r="L2" s="3">
        <v>148</v>
      </c>
      <c r="M2" s="3">
        <v>136</v>
      </c>
      <c r="N2" s="3">
        <v>119</v>
      </c>
      <c r="O2" s="3">
        <v>104</v>
      </c>
      <c r="P2" s="3">
        <v>118</v>
      </c>
      <c r="R2" s="3">
        <v>115</v>
      </c>
      <c r="T2" s="3">
        <f t="shared" ref="T2:T33" si="0">SUMPRODUCT(D2:P2,$D$173:$P$173)</f>
        <v>133.05473447208374</v>
      </c>
      <c r="U2" s="3">
        <f t="shared" ref="U2:U33" si="1">SUMPRODUCT(D2:P2,$D$174:$P$174)</f>
        <v>133.05461904774677</v>
      </c>
      <c r="X2" s="2">
        <v>17899</v>
      </c>
      <c r="Y2" s="3">
        <v>112</v>
      </c>
      <c r="Z2" s="3"/>
      <c r="AA2" s="3"/>
    </row>
    <row r="3" spans="1:27" x14ac:dyDescent="0.3">
      <c r="A3" s="2">
        <v>17930</v>
      </c>
      <c r="B3" s="3">
        <v>118</v>
      </c>
      <c r="D3" s="3">
        <v>1</v>
      </c>
      <c r="E3" s="3">
        <v>118</v>
      </c>
      <c r="F3" s="3">
        <v>132</v>
      </c>
      <c r="G3" s="3">
        <v>129</v>
      </c>
      <c r="H3" s="3">
        <v>121</v>
      </c>
      <c r="I3" s="3">
        <v>135</v>
      </c>
      <c r="J3" s="3">
        <v>148</v>
      </c>
      <c r="K3" s="3">
        <v>148</v>
      </c>
      <c r="L3" s="3">
        <v>136</v>
      </c>
      <c r="M3" s="3">
        <v>119</v>
      </c>
      <c r="N3" s="3">
        <v>104</v>
      </c>
      <c r="O3" s="3">
        <v>118</v>
      </c>
      <c r="P3" s="3">
        <v>115</v>
      </c>
      <c r="R3" s="3">
        <v>126</v>
      </c>
      <c r="T3" s="3">
        <f t="shared" si="0"/>
        <v>131.08045410313201</v>
      </c>
      <c r="U3" s="3">
        <f t="shared" si="1"/>
        <v>131.07975805580531</v>
      </c>
      <c r="X3" s="2">
        <v>17930</v>
      </c>
      <c r="Y3" s="3">
        <v>118</v>
      </c>
      <c r="Z3" s="3"/>
      <c r="AA3" s="3"/>
    </row>
    <row r="4" spans="1:27" x14ac:dyDescent="0.3">
      <c r="A4" s="2">
        <v>17958</v>
      </c>
      <c r="B4" s="3">
        <v>132</v>
      </c>
      <c r="D4" s="3">
        <v>1</v>
      </c>
      <c r="E4" s="3">
        <v>132</v>
      </c>
      <c r="F4" s="3">
        <v>129</v>
      </c>
      <c r="G4" s="3">
        <v>121</v>
      </c>
      <c r="H4" s="3">
        <v>135</v>
      </c>
      <c r="I4" s="3">
        <v>148</v>
      </c>
      <c r="J4" s="3">
        <v>148</v>
      </c>
      <c r="K4" s="3">
        <v>136</v>
      </c>
      <c r="L4" s="3">
        <v>119</v>
      </c>
      <c r="M4" s="3">
        <v>104</v>
      </c>
      <c r="N4" s="3">
        <v>118</v>
      </c>
      <c r="O4" s="3">
        <v>115</v>
      </c>
      <c r="P4" s="3">
        <v>126</v>
      </c>
      <c r="R4" s="3">
        <v>141</v>
      </c>
      <c r="T4" s="3">
        <f t="shared" si="0"/>
        <v>151.20018528972096</v>
      </c>
      <c r="U4" s="3">
        <f t="shared" si="1"/>
        <v>151.19990096200078</v>
      </c>
      <c r="X4" s="2">
        <v>17958</v>
      </c>
      <c r="Y4" s="3">
        <v>132</v>
      </c>
      <c r="Z4" s="3"/>
      <c r="AA4" s="3"/>
    </row>
    <row r="5" spans="1:27" x14ac:dyDescent="0.3">
      <c r="A5" s="2">
        <v>17989</v>
      </c>
      <c r="B5" s="3">
        <v>129</v>
      </c>
      <c r="D5" s="3">
        <v>1</v>
      </c>
      <c r="E5" s="3">
        <v>129</v>
      </c>
      <c r="F5" s="3">
        <v>121</v>
      </c>
      <c r="G5" s="3">
        <v>135</v>
      </c>
      <c r="H5" s="3">
        <v>148</v>
      </c>
      <c r="I5" s="3">
        <v>148</v>
      </c>
      <c r="J5" s="3">
        <v>136</v>
      </c>
      <c r="K5" s="3">
        <v>119</v>
      </c>
      <c r="L5" s="3">
        <v>104</v>
      </c>
      <c r="M5" s="3">
        <v>118</v>
      </c>
      <c r="N5" s="3">
        <v>115</v>
      </c>
      <c r="O5" s="3">
        <v>126</v>
      </c>
      <c r="P5" s="3">
        <v>141</v>
      </c>
      <c r="R5" s="3">
        <v>135</v>
      </c>
      <c r="T5" s="3">
        <f t="shared" si="0"/>
        <v>144.69941836940276</v>
      </c>
      <c r="U5" s="3">
        <f t="shared" si="1"/>
        <v>144.69966799031164</v>
      </c>
      <c r="X5" s="2">
        <v>17989</v>
      </c>
      <c r="Y5" s="3">
        <v>129</v>
      </c>
      <c r="Z5" s="3"/>
      <c r="AA5" s="3"/>
    </row>
    <row r="6" spans="1:27" x14ac:dyDescent="0.3">
      <c r="A6" s="2">
        <v>18019</v>
      </c>
      <c r="B6" s="3">
        <v>121</v>
      </c>
      <c r="D6" s="3">
        <v>1</v>
      </c>
      <c r="E6" s="3">
        <v>121</v>
      </c>
      <c r="F6" s="3">
        <v>135</v>
      </c>
      <c r="G6" s="3">
        <v>148</v>
      </c>
      <c r="H6" s="3">
        <v>148</v>
      </c>
      <c r="I6" s="3">
        <v>136</v>
      </c>
      <c r="J6" s="3">
        <v>119</v>
      </c>
      <c r="K6" s="3">
        <v>104</v>
      </c>
      <c r="L6" s="3">
        <v>118</v>
      </c>
      <c r="M6" s="3">
        <v>115</v>
      </c>
      <c r="N6" s="3">
        <v>126</v>
      </c>
      <c r="O6" s="3">
        <v>141</v>
      </c>
      <c r="P6" s="3">
        <v>135</v>
      </c>
      <c r="R6" s="3">
        <v>125</v>
      </c>
      <c r="T6" s="3">
        <f t="shared" si="0"/>
        <v>143.43750579427225</v>
      </c>
      <c r="U6" s="3">
        <f t="shared" si="1"/>
        <v>143.43693763648042</v>
      </c>
      <c r="X6" s="2">
        <v>18019</v>
      </c>
      <c r="Y6" s="3">
        <v>121</v>
      </c>
      <c r="Z6" s="3"/>
      <c r="AA6" s="3"/>
    </row>
    <row r="7" spans="1:27" x14ac:dyDescent="0.3">
      <c r="A7" s="2">
        <v>18050</v>
      </c>
      <c r="B7" s="3">
        <v>135</v>
      </c>
      <c r="D7" s="3">
        <v>1</v>
      </c>
      <c r="E7" s="3">
        <v>135</v>
      </c>
      <c r="F7" s="3">
        <v>148</v>
      </c>
      <c r="G7" s="3">
        <v>148</v>
      </c>
      <c r="H7" s="3">
        <v>136</v>
      </c>
      <c r="I7" s="3">
        <v>119</v>
      </c>
      <c r="J7" s="3">
        <v>104</v>
      </c>
      <c r="K7" s="3">
        <v>118</v>
      </c>
      <c r="L7" s="3">
        <v>115</v>
      </c>
      <c r="M7" s="3">
        <v>126</v>
      </c>
      <c r="N7" s="3">
        <v>141</v>
      </c>
      <c r="O7" s="3">
        <v>135</v>
      </c>
      <c r="P7" s="3">
        <v>125</v>
      </c>
      <c r="R7" s="3">
        <v>149</v>
      </c>
      <c r="T7" s="3">
        <f t="shared" si="0"/>
        <v>148.94120623839515</v>
      </c>
      <c r="U7" s="3">
        <f t="shared" si="1"/>
        <v>148.94057897826067</v>
      </c>
      <c r="X7" s="2">
        <v>18050</v>
      </c>
      <c r="Y7" s="3">
        <v>135</v>
      </c>
      <c r="Z7" s="3"/>
      <c r="AA7" s="3"/>
    </row>
    <row r="8" spans="1:27" x14ac:dyDescent="0.3">
      <c r="A8" s="2">
        <v>18080</v>
      </c>
      <c r="B8" s="3">
        <v>148</v>
      </c>
      <c r="D8" s="3">
        <v>1</v>
      </c>
      <c r="E8" s="3">
        <v>148</v>
      </c>
      <c r="F8" s="3">
        <v>148</v>
      </c>
      <c r="G8" s="3">
        <v>136</v>
      </c>
      <c r="H8" s="3">
        <v>119</v>
      </c>
      <c r="I8" s="3">
        <v>104</v>
      </c>
      <c r="J8" s="3">
        <v>118</v>
      </c>
      <c r="K8" s="3">
        <v>115</v>
      </c>
      <c r="L8" s="3">
        <v>126</v>
      </c>
      <c r="M8" s="3">
        <v>141</v>
      </c>
      <c r="N8" s="3">
        <v>135</v>
      </c>
      <c r="O8" s="3">
        <v>125</v>
      </c>
      <c r="P8" s="3">
        <v>149</v>
      </c>
      <c r="R8" s="3">
        <v>170</v>
      </c>
      <c r="T8" s="3">
        <f t="shared" si="0"/>
        <v>173.86188041206293</v>
      </c>
      <c r="U8" s="3">
        <f t="shared" si="1"/>
        <v>173.86178826737054</v>
      </c>
      <c r="X8" s="2">
        <v>18080</v>
      </c>
      <c r="Y8" s="3">
        <v>148</v>
      </c>
      <c r="Z8" s="3"/>
      <c r="AA8" s="3"/>
    </row>
    <row r="9" spans="1:27" x14ac:dyDescent="0.3">
      <c r="A9" s="2">
        <v>18111</v>
      </c>
      <c r="B9" s="3">
        <v>148</v>
      </c>
      <c r="D9" s="3">
        <v>1</v>
      </c>
      <c r="E9" s="3">
        <v>148</v>
      </c>
      <c r="F9" s="3">
        <v>136</v>
      </c>
      <c r="G9" s="3">
        <v>119</v>
      </c>
      <c r="H9" s="3">
        <v>104</v>
      </c>
      <c r="I9" s="3">
        <v>118</v>
      </c>
      <c r="J9" s="3">
        <v>115</v>
      </c>
      <c r="K9" s="3">
        <v>126</v>
      </c>
      <c r="L9" s="3">
        <v>141</v>
      </c>
      <c r="M9" s="3">
        <v>135</v>
      </c>
      <c r="N9" s="3">
        <v>125</v>
      </c>
      <c r="O9" s="3">
        <v>149</v>
      </c>
      <c r="P9" s="3">
        <v>170</v>
      </c>
      <c r="R9" s="3">
        <v>170</v>
      </c>
      <c r="T9" s="3">
        <f t="shared" si="0"/>
        <v>169.32510341863349</v>
      </c>
      <c r="U9" s="3">
        <f t="shared" si="1"/>
        <v>169.32546150210493</v>
      </c>
      <c r="X9" s="2">
        <v>18111</v>
      </c>
      <c r="Y9" s="3">
        <v>148</v>
      </c>
      <c r="Z9" s="3"/>
      <c r="AA9" s="3"/>
    </row>
    <row r="10" spans="1:27" x14ac:dyDescent="0.3">
      <c r="A10" s="2">
        <v>18142</v>
      </c>
      <c r="B10" s="3">
        <v>136</v>
      </c>
      <c r="D10" s="3">
        <v>1</v>
      </c>
      <c r="E10" s="3">
        <v>136</v>
      </c>
      <c r="F10" s="3">
        <v>119</v>
      </c>
      <c r="G10" s="3">
        <v>104</v>
      </c>
      <c r="H10" s="3">
        <v>118</v>
      </c>
      <c r="I10" s="3">
        <v>115</v>
      </c>
      <c r="J10" s="3">
        <v>126</v>
      </c>
      <c r="K10" s="3">
        <v>141</v>
      </c>
      <c r="L10" s="3">
        <v>135</v>
      </c>
      <c r="M10" s="3">
        <v>125</v>
      </c>
      <c r="N10" s="3">
        <v>149</v>
      </c>
      <c r="O10" s="3">
        <v>170</v>
      </c>
      <c r="P10" s="3">
        <v>170</v>
      </c>
      <c r="R10" s="3">
        <v>158</v>
      </c>
      <c r="T10" s="3">
        <f t="shared" si="0"/>
        <v>163.78600977684465</v>
      </c>
      <c r="U10" s="3">
        <f t="shared" si="1"/>
        <v>163.78577425864393</v>
      </c>
      <c r="X10" s="2">
        <v>18142</v>
      </c>
      <c r="Y10" s="3">
        <v>136</v>
      </c>
      <c r="Z10" s="3"/>
      <c r="AA10" s="3"/>
    </row>
    <row r="11" spans="1:27" x14ac:dyDescent="0.3">
      <c r="A11" s="2">
        <v>18172</v>
      </c>
      <c r="B11" s="3">
        <v>119</v>
      </c>
      <c r="D11" s="3">
        <v>1</v>
      </c>
      <c r="E11" s="3">
        <v>119</v>
      </c>
      <c r="F11" s="3">
        <v>104</v>
      </c>
      <c r="G11" s="3">
        <v>118</v>
      </c>
      <c r="H11" s="3">
        <v>115</v>
      </c>
      <c r="I11" s="3">
        <v>126</v>
      </c>
      <c r="J11" s="3">
        <v>141</v>
      </c>
      <c r="K11" s="3">
        <v>135</v>
      </c>
      <c r="L11" s="3">
        <v>125</v>
      </c>
      <c r="M11" s="3">
        <v>149</v>
      </c>
      <c r="N11" s="3">
        <v>170</v>
      </c>
      <c r="O11" s="3">
        <v>170</v>
      </c>
      <c r="P11" s="3">
        <v>158</v>
      </c>
      <c r="R11" s="3">
        <v>133</v>
      </c>
      <c r="T11" s="3">
        <f t="shared" si="0"/>
        <v>136.39670599712832</v>
      </c>
      <c r="U11" s="3">
        <f t="shared" si="1"/>
        <v>136.39629620324899</v>
      </c>
      <c r="X11" s="2">
        <v>18172</v>
      </c>
      <c r="Y11" s="3">
        <v>119</v>
      </c>
      <c r="Z11" s="3"/>
      <c r="AA11" s="3"/>
    </row>
    <row r="12" spans="1:27" x14ac:dyDescent="0.3">
      <c r="A12" s="2">
        <v>18203</v>
      </c>
      <c r="B12" s="3">
        <v>104</v>
      </c>
      <c r="D12" s="3">
        <v>1</v>
      </c>
      <c r="E12" s="3">
        <v>104</v>
      </c>
      <c r="F12" s="3">
        <v>118</v>
      </c>
      <c r="G12" s="3">
        <v>115</v>
      </c>
      <c r="H12" s="3">
        <v>126</v>
      </c>
      <c r="I12" s="3">
        <v>141</v>
      </c>
      <c r="J12" s="3">
        <v>135</v>
      </c>
      <c r="K12" s="3">
        <v>125</v>
      </c>
      <c r="L12" s="3">
        <v>149</v>
      </c>
      <c r="M12" s="3">
        <v>170</v>
      </c>
      <c r="N12" s="3">
        <v>170</v>
      </c>
      <c r="O12" s="3">
        <v>158</v>
      </c>
      <c r="P12" s="3">
        <v>133</v>
      </c>
      <c r="R12" s="3">
        <v>114</v>
      </c>
      <c r="T12" s="3">
        <f t="shared" si="0"/>
        <v>125.61830207222377</v>
      </c>
      <c r="U12" s="3">
        <f t="shared" si="1"/>
        <v>125.61741973163072</v>
      </c>
      <c r="X12" s="2">
        <v>18203</v>
      </c>
      <c r="Y12" s="3">
        <v>104</v>
      </c>
      <c r="Z12" s="3"/>
      <c r="AA12" s="3"/>
    </row>
    <row r="13" spans="1:27" x14ac:dyDescent="0.3">
      <c r="A13" s="2">
        <v>18233</v>
      </c>
      <c r="B13" s="3">
        <v>118</v>
      </c>
      <c r="D13" s="3">
        <v>1</v>
      </c>
      <c r="E13" s="3">
        <v>118</v>
      </c>
      <c r="F13" s="3">
        <v>115</v>
      </c>
      <c r="G13" s="3">
        <v>126</v>
      </c>
      <c r="H13" s="3">
        <v>141</v>
      </c>
      <c r="I13" s="3">
        <v>135</v>
      </c>
      <c r="J13" s="3">
        <v>125</v>
      </c>
      <c r="K13" s="3">
        <v>149</v>
      </c>
      <c r="L13" s="3">
        <v>170</v>
      </c>
      <c r="M13" s="3">
        <v>170</v>
      </c>
      <c r="N13" s="3">
        <v>158</v>
      </c>
      <c r="O13" s="3">
        <v>133</v>
      </c>
      <c r="P13" s="3">
        <v>114</v>
      </c>
      <c r="R13" s="3">
        <v>140</v>
      </c>
      <c r="T13" s="3">
        <f t="shared" si="0"/>
        <v>130.64284476567127</v>
      </c>
      <c r="U13" s="3">
        <f t="shared" si="1"/>
        <v>130.64274534798744</v>
      </c>
      <c r="X13" s="2">
        <v>18233</v>
      </c>
      <c r="Y13" s="3">
        <v>118</v>
      </c>
      <c r="Z13" s="3"/>
      <c r="AA13" s="3"/>
    </row>
    <row r="14" spans="1:27" x14ac:dyDescent="0.3">
      <c r="A14" s="2">
        <v>18264</v>
      </c>
      <c r="B14" s="3">
        <v>115</v>
      </c>
      <c r="D14" s="3">
        <v>1</v>
      </c>
      <c r="E14" s="3">
        <v>115</v>
      </c>
      <c r="F14" s="3">
        <v>126</v>
      </c>
      <c r="G14" s="3">
        <v>141</v>
      </c>
      <c r="H14" s="3">
        <v>135</v>
      </c>
      <c r="I14" s="3">
        <v>125</v>
      </c>
      <c r="J14" s="3">
        <v>149</v>
      </c>
      <c r="K14" s="3">
        <v>170</v>
      </c>
      <c r="L14" s="3">
        <v>170</v>
      </c>
      <c r="M14" s="3">
        <v>158</v>
      </c>
      <c r="N14" s="3">
        <v>133</v>
      </c>
      <c r="O14" s="3">
        <v>114</v>
      </c>
      <c r="P14" s="3">
        <v>140</v>
      </c>
      <c r="R14" s="3">
        <v>145</v>
      </c>
      <c r="T14" s="3">
        <f t="shared" si="0"/>
        <v>144.07257086290241</v>
      </c>
      <c r="U14" s="3">
        <f t="shared" si="1"/>
        <v>144.07255075290519</v>
      </c>
      <c r="X14" s="2">
        <v>18264</v>
      </c>
      <c r="Y14" s="3">
        <v>115</v>
      </c>
      <c r="Z14" s="3">
        <f>U2</f>
        <v>133.05461904774677</v>
      </c>
      <c r="AA14" s="3"/>
    </row>
    <row r="15" spans="1:27" x14ac:dyDescent="0.3">
      <c r="A15" s="2">
        <v>18295</v>
      </c>
      <c r="B15" s="3">
        <v>126</v>
      </c>
      <c r="D15" s="3">
        <v>1</v>
      </c>
      <c r="E15" s="3">
        <v>126</v>
      </c>
      <c r="F15" s="3">
        <v>141</v>
      </c>
      <c r="G15" s="3">
        <v>135</v>
      </c>
      <c r="H15" s="3">
        <v>125</v>
      </c>
      <c r="I15" s="3">
        <v>149</v>
      </c>
      <c r="J15" s="3">
        <v>170</v>
      </c>
      <c r="K15" s="3">
        <v>170</v>
      </c>
      <c r="L15" s="3">
        <v>158</v>
      </c>
      <c r="M15" s="3">
        <v>133</v>
      </c>
      <c r="N15" s="3">
        <v>114</v>
      </c>
      <c r="O15" s="3">
        <v>140</v>
      </c>
      <c r="P15" s="3">
        <v>145</v>
      </c>
      <c r="R15" s="3">
        <v>150</v>
      </c>
      <c r="T15" s="3">
        <f t="shared" si="0"/>
        <v>145.6603051639899</v>
      </c>
      <c r="U15" s="3">
        <f t="shared" si="1"/>
        <v>145.65967021293861</v>
      </c>
      <c r="X15" s="2">
        <v>18295</v>
      </c>
      <c r="Y15" s="3">
        <v>126</v>
      </c>
      <c r="Z15" s="3">
        <f t="shared" ref="Z15:Z78" si="2">U3</f>
        <v>131.07975805580531</v>
      </c>
      <c r="AA15" s="3"/>
    </row>
    <row r="16" spans="1:27" x14ac:dyDescent="0.3">
      <c r="A16" s="2">
        <v>18323</v>
      </c>
      <c r="B16" s="3">
        <v>141</v>
      </c>
      <c r="D16" s="3">
        <v>1</v>
      </c>
      <c r="E16" s="3">
        <v>141</v>
      </c>
      <c r="F16" s="3">
        <v>135</v>
      </c>
      <c r="G16" s="3">
        <v>125</v>
      </c>
      <c r="H16" s="3">
        <v>149</v>
      </c>
      <c r="I16" s="3">
        <v>170</v>
      </c>
      <c r="J16" s="3">
        <v>170</v>
      </c>
      <c r="K16" s="3">
        <v>158</v>
      </c>
      <c r="L16" s="3">
        <v>133</v>
      </c>
      <c r="M16" s="3">
        <v>114</v>
      </c>
      <c r="N16" s="3">
        <v>140</v>
      </c>
      <c r="O16" s="3">
        <v>145</v>
      </c>
      <c r="P16" s="3">
        <v>150</v>
      </c>
      <c r="R16" s="3">
        <v>178</v>
      </c>
      <c r="T16" s="3">
        <f t="shared" si="0"/>
        <v>163.07860085543388</v>
      </c>
      <c r="U16" s="3">
        <f t="shared" si="1"/>
        <v>163.07822209082599</v>
      </c>
      <c r="X16" s="2">
        <v>18323</v>
      </c>
      <c r="Y16" s="3">
        <v>141</v>
      </c>
      <c r="Z16" s="3">
        <f t="shared" si="2"/>
        <v>151.19990096200078</v>
      </c>
      <c r="AA16" s="3"/>
    </row>
    <row r="17" spans="1:31" x14ac:dyDescent="0.3">
      <c r="A17" s="2">
        <v>18354</v>
      </c>
      <c r="B17" s="3">
        <v>135</v>
      </c>
      <c r="D17" s="3">
        <v>1</v>
      </c>
      <c r="E17" s="3">
        <v>135</v>
      </c>
      <c r="F17" s="3">
        <v>125</v>
      </c>
      <c r="G17" s="3">
        <v>149</v>
      </c>
      <c r="H17" s="3">
        <v>170</v>
      </c>
      <c r="I17" s="3">
        <v>170</v>
      </c>
      <c r="J17" s="3">
        <v>158</v>
      </c>
      <c r="K17" s="3">
        <v>133</v>
      </c>
      <c r="L17" s="3">
        <v>114</v>
      </c>
      <c r="M17" s="3">
        <v>140</v>
      </c>
      <c r="N17" s="3">
        <v>145</v>
      </c>
      <c r="O17" s="3">
        <v>150</v>
      </c>
      <c r="P17" s="3">
        <v>178</v>
      </c>
      <c r="R17" s="3">
        <v>163</v>
      </c>
      <c r="T17" s="3">
        <f t="shared" si="0"/>
        <v>160.83084402615435</v>
      </c>
      <c r="U17" s="3">
        <f t="shared" si="1"/>
        <v>160.83133310405248</v>
      </c>
      <c r="X17" s="2">
        <v>18354</v>
      </c>
      <c r="Y17" s="3">
        <v>135</v>
      </c>
      <c r="Z17" s="3">
        <f t="shared" si="2"/>
        <v>144.69966799031164</v>
      </c>
      <c r="AA17" s="3"/>
    </row>
    <row r="18" spans="1:31" x14ac:dyDescent="0.3">
      <c r="A18" s="2">
        <v>18384</v>
      </c>
      <c r="B18" s="3">
        <v>125</v>
      </c>
      <c r="D18" s="3">
        <v>1</v>
      </c>
      <c r="E18" s="3">
        <v>125</v>
      </c>
      <c r="F18" s="3">
        <v>149</v>
      </c>
      <c r="G18" s="3">
        <v>170</v>
      </c>
      <c r="H18" s="3">
        <v>170</v>
      </c>
      <c r="I18" s="3">
        <v>158</v>
      </c>
      <c r="J18" s="3">
        <v>133</v>
      </c>
      <c r="K18" s="3">
        <v>114</v>
      </c>
      <c r="L18" s="3">
        <v>140</v>
      </c>
      <c r="M18" s="3">
        <v>145</v>
      </c>
      <c r="N18" s="3">
        <v>150</v>
      </c>
      <c r="O18" s="3">
        <v>178</v>
      </c>
      <c r="P18" s="3">
        <v>163</v>
      </c>
      <c r="R18" s="3">
        <v>172</v>
      </c>
      <c r="T18" s="3">
        <f t="shared" si="0"/>
        <v>151.25158727528344</v>
      </c>
      <c r="U18" s="3">
        <f t="shared" si="1"/>
        <v>151.25089630824303</v>
      </c>
      <c r="X18" s="2">
        <v>18384</v>
      </c>
      <c r="Y18" s="3">
        <v>125</v>
      </c>
      <c r="Z18" s="3">
        <f t="shared" si="2"/>
        <v>143.43693763648042</v>
      </c>
      <c r="AA18" s="3"/>
    </row>
    <row r="19" spans="1:31" x14ac:dyDescent="0.3">
      <c r="A19" s="2">
        <v>18415</v>
      </c>
      <c r="B19" s="3">
        <v>149</v>
      </c>
      <c r="D19" s="3">
        <v>1</v>
      </c>
      <c r="E19" s="3">
        <v>149</v>
      </c>
      <c r="F19" s="3">
        <v>170</v>
      </c>
      <c r="G19" s="3">
        <v>170</v>
      </c>
      <c r="H19" s="3">
        <v>158</v>
      </c>
      <c r="I19" s="3">
        <v>133</v>
      </c>
      <c r="J19" s="3">
        <v>114</v>
      </c>
      <c r="K19" s="3">
        <v>140</v>
      </c>
      <c r="L19" s="3">
        <v>145</v>
      </c>
      <c r="M19" s="3">
        <v>150</v>
      </c>
      <c r="N19" s="3">
        <v>178</v>
      </c>
      <c r="O19" s="3">
        <v>163</v>
      </c>
      <c r="P19" s="3">
        <v>172</v>
      </c>
      <c r="R19" s="3">
        <v>178</v>
      </c>
      <c r="T19" s="3">
        <f t="shared" si="0"/>
        <v>181.04109230408017</v>
      </c>
      <c r="U19" s="3">
        <f t="shared" si="1"/>
        <v>181.04062313007864</v>
      </c>
      <c r="X19" s="2">
        <v>18415</v>
      </c>
      <c r="Y19" s="3">
        <v>149</v>
      </c>
      <c r="Z19" s="3">
        <f t="shared" si="2"/>
        <v>148.94057897826067</v>
      </c>
      <c r="AA19" s="3"/>
    </row>
    <row r="20" spans="1:31" x14ac:dyDescent="0.3">
      <c r="A20" s="2">
        <v>18445</v>
      </c>
      <c r="B20" s="3">
        <v>170</v>
      </c>
      <c r="D20" s="3">
        <v>1</v>
      </c>
      <c r="E20" s="3">
        <v>170</v>
      </c>
      <c r="F20" s="3">
        <v>170</v>
      </c>
      <c r="G20" s="3">
        <v>158</v>
      </c>
      <c r="H20" s="3">
        <v>133</v>
      </c>
      <c r="I20" s="3">
        <v>114</v>
      </c>
      <c r="J20" s="3">
        <v>140</v>
      </c>
      <c r="K20" s="3">
        <v>145</v>
      </c>
      <c r="L20" s="3">
        <v>150</v>
      </c>
      <c r="M20" s="3">
        <v>178</v>
      </c>
      <c r="N20" s="3">
        <v>163</v>
      </c>
      <c r="O20" s="3">
        <v>172</v>
      </c>
      <c r="P20" s="3">
        <v>178</v>
      </c>
      <c r="R20" s="3">
        <v>199</v>
      </c>
      <c r="T20" s="3">
        <f t="shared" si="0"/>
        <v>191.16839115414061</v>
      </c>
      <c r="U20" s="3">
        <f t="shared" si="1"/>
        <v>191.16807055307481</v>
      </c>
      <c r="X20" s="2">
        <v>18445</v>
      </c>
      <c r="Y20" s="3">
        <v>170</v>
      </c>
      <c r="Z20" s="3">
        <f t="shared" si="2"/>
        <v>173.86178826737054</v>
      </c>
      <c r="AA20" s="3"/>
    </row>
    <row r="21" spans="1:31" x14ac:dyDescent="0.3">
      <c r="A21" s="2">
        <v>18476</v>
      </c>
      <c r="B21" s="3">
        <v>170</v>
      </c>
      <c r="D21" s="3">
        <v>1</v>
      </c>
      <c r="E21" s="3">
        <v>170</v>
      </c>
      <c r="F21" s="3">
        <v>158</v>
      </c>
      <c r="G21" s="3">
        <v>133</v>
      </c>
      <c r="H21" s="3">
        <v>114</v>
      </c>
      <c r="I21" s="3">
        <v>140</v>
      </c>
      <c r="J21" s="3">
        <v>145</v>
      </c>
      <c r="K21" s="3">
        <v>150</v>
      </c>
      <c r="L21" s="3">
        <v>178</v>
      </c>
      <c r="M21" s="3">
        <v>163</v>
      </c>
      <c r="N21" s="3">
        <v>172</v>
      </c>
      <c r="O21" s="3">
        <v>178</v>
      </c>
      <c r="P21" s="3">
        <v>199</v>
      </c>
      <c r="R21" s="3">
        <v>199</v>
      </c>
      <c r="T21" s="3">
        <f t="shared" si="0"/>
        <v>200.49132250461355</v>
      </c>
      <c r="U21" s="3">
        <f t="shared" si="1"/>
        <v>200.49145153588978</v>
      </c>
      <c r="X21" s="2">
        <v>18476</v>
      </c>
      <c r="Y21" s="3">
        <v>170</v>
      </c>
      <c r="Z21" s="3">
        <f t="shared" si="2"/>
        <v>169.32546150210493</v>
      </c>
      <c r="AA21" s="3"/>
    </row>
    <row r="22" spans="1:31" x14ac:dyDescent="0.3">
      <c r="A22" s="2">
        <v>18507</v>
      </c>
      <c r="B22" s="3">
        <v>158</v>
      </c>
      <c r="D22" s="3">
        <v>1</v>
      </c>
      <c r="E22" s="3">
        <v>158</v>
      </c>
      <c r="F22" s="3">
        <v>133</v>
      </c>
      <c r="G22" s="3">
        <v>114</v>
      </c>
      <c r="H22" s="3">
        <v>140</v>
      </c>
      <c r="I22" s="3">
        <v>145</v>
      </c>
      <c r="J22" s="3">
        <v>150</v>
      </c>
      <c r="K22" s="3">
        <v>178</v>
      </c>
      <c r="L22" s="3">
        <v>163</v>
      </c>
      <c r="M22" s="3">
        <v>172</v>
      </c>
      <c r="N22" s="3">
        <v>178</v>
      </c>
      <c r="O22" s="3">
        <v>199</v>
      </c>
      <c r="P22" s="3">
        <v>199</v>
      </c>
      <c r="R22" s="3">
        <v>184</v>
      </c>
      <c r="T22" s="3">
        <f t="shared" si="0"/>
        <v>181.27627128967288</v>
      </c>
      <c r="U22" s="3">
        <f t="shared" si="1"/>
        <v>181.27651717613554</v>
      </c>
      <c r="X22" s="2">
        <v>18507</v>
      </c>
      <c r="Y22" s="3">
        <v>158</v>
      </c>
      <c r="Z22" s="3">
        <f t="shared" si="2"/>
        <v>163.78577425864393</v>
      </c>
      <c r="AA22" s="3"/>
      <c r="AC22" s="1" t="s">
        <v>36</v>
      </c>
      <c r="AD22" s="3">
        <f>AVERAGE(Y14:Y145)</f>
        <v>294.2651515151515</v>
      </c>
      <c r="AE22" s="1" t="s">
        <v>40</v>
      </c>
    </row>
    <row r="23" spans="1:31" x14ac:dyDescent="0.3">
      <c r="A23" s="2">
        <v>18537</v>
      </c>
      <c r="B23" s="3">
        <v>133</v>
      </c>
      <c r="D23" s="3">
        <v>1</v>
      </c>
      <c r="E23" s="3">
        <v>133</v>
      </c>
      <c r="F23" s="3">
        <v>114</v>
      </c>
      <c r="G23" s="3">
        <v>140</v>
      </c>
      <c r="H23" s="3">
        <v>145</v>
      </c>
      <c r="I23" s="3">
        <v>150</v>
      </c>
      <c r="J23" s="3">
        <v>178</v>
      </c>
      <c r="K23" s="3">
        <v>163</v>
      </c>
      <c r="L23" s="3">
        <v>172</v>
      </c>
      <c r="M23" s="3">
        <v>178</v>
      </c>
      <c r="N23" s="3">
        <v>199</v>
      </c>
      <c r="O23" s="3">
        <v>199</v>
      </c>
      <c r="P23" s="3">
        <v>184</v>
      </c>
      <c r="R23" s="3">
        <v>162</v>
      </c>
      <c r="T23" s="3">
        <f t="shared" si="0"/>
        <v>159.62226999505421</v>
      </c>
      <c r="U23" s="3">
        <f t="shared" si="1"/>
        <v>159.62187321328102</v>
      </c>
      <c r="X23" s="2">
        <v>18537</v>
      </c>
      <c r="Y23" s="3">
        <v>133</v>
      </c>
      <c r="Z23" s="3">
        <f t="shared" si="2"/>
        <v>136.39629620324899</v>
      </c>
      <c r="AA23" s="3"/>
      <c r="AC23" s="1" t="s">
        <v>37</v>
      </c>
      <c r="AD23" s="3">
        <f t="array" ref="AD23">SUM( ( Y14:Y145 - $AD$22 )^2 )</f>
        <v>1746991.71969697</v>
      </c>
      <c r="AE23" s="3">
        <f>SUM(AE24:AE25)</f>
        <v>0.99999999999962019</v>
      </c>
    </row>
    <row r="24" spans="1:31" x14ac:dyDescent="0.3">
      <c r="A24" s="2">
        <v>18568</v>
      </c>
      <c r="B24" s="3">
        <v>114</v>
      </c>
      <c r="D24" s="3">
        <v>1</v>
      </c>
      <c r="E24" s="3">
        <v>114</v>
      </c>
      <c r="F24" s="3">
        <v>140</v>
      </c>
      <c r="G24" s="3">
        <v>145</v>
      </c>
      <c r="H24" s="3">
        <v>150</v>
      </c>
      <c r="I24" s="3">
        <v>178</v>
      </c>
      <c r="J24" s="3">
        <v>163</v>
      </c>
      <c r="K24" s="3">
        <v>172</v>
      </c>
      <c r="L24" s="3">
        <v>178</v>
      </c>
      <c r="M24" s="3">
        <v>199</v>
      </c>
      <c r="N24" s="3">
        <v>199</v>
      </c>
      <c r="O24" s="3">
        <v>184</v>
      </c>
      <c r="P24" s="3">
        <v>162</v>
      </c>
      <c r="R24" s="3">
        <v>146</v>
      </c>
      <c r="T24" s="3">
        <f t="shared" si="0"/>
        <v>135.57730247783689</v>
      </c>
      <c r="U24" s="3">
        <f t="shared" si="1"/>
        <v>135.57645768360507</v>
      </c>
      <c r="X24" s="2">
        <v>18568</v>
      </c>
      <c r="Y24" s="3">
        <v>114</v>
      </c>
      <c r="Z24" s="3">
        <f t="shared" si="2"/>
        <v>125.61741973163072</v>
      </c>
      <c r="AA24" s="3"/>
      <c r="AC24" s="1" t="s">
        <v>39</v>
      </c>
      <c r="AD24" s="3">
        <f t="array" ref="AD24">SUM( ( Y14:Y145 - Z14:Z145 )^2 )</f>
        <v>24094.957927736185</v>
      </c>
      <c r="AE24" s="3">
        <f>AD24/AD23</f>
        <v>1.3792256515054148E-2</v>
      </c>
    </row>
    <row r="25" spans="1:31" x14ac:dyDescent="0.3">
      <c r="A25" s="2">
        <v>18598</v>
      </c>
      <c r="B25" s="3">
        <v>140</v>
      </c>
      <c r="D25" s="3">
        <v>1</v>
      </c>
      <c r="E25" s="3">
        <v>140</v>
      </c>
      <c r="F25" s="3">
        <v>145</v>
      </c>
      <c r="G25" s="3">
        <v>150</v>
      </c>
      <c r="H25" s="3">
        <v>178</v>
      </c>
      <c r="I25" s="3">
        <v>163</v>
      </c>
      <c r="J25" s="3">
        <v>172</v>
      </c>
      <c r="K25" s="3">
        <v>178</v>
      </c>
      <c r="L25" s="3">
        <v>199</v>
      </c>
      <c r="M25" s="3">
        <v>199</v>
      </c>
      <c r="N25" s="3">
        <v>184</v>
      </c>
      <c r="O25" s="3">
        <v>162</v>
      </c>
      <c r="P25" s="3">
        <v>146</v>
      </c>
      <c r="R25" s="3">
        <v>166</v>
      </c>
      <c r="T25" s="3">
        <f t="shared" si="0"/>
        <v>164.97050225078345</v>
      </c>
      <c r="U25" s="3">
        <f t="shared" si="1"/>
        <v>164.97008489107952</v>
      </c>
      <c r="X25" s="2">
        <v>18598</v>
      </c>
      <c r="Y25" s="3">
        <v>140</v>
      </c>
      <c r="Z25" s="3">
        <f t="shared" si="2"/>
        <v>130.64274534798744</v>
      </c>
      <c r="AA25" s="3"/>
      <c r="AC25" s="1" t="s">
        <v>38</v>
      </c>
      <c r="AD25" s="3">
        <f t="array" ref="AD25">SUM( (Z14:Z145 -$AD$22)^2 )</f>
        <v>1722896.7617685704</v>
      </c>
      <c r="AE25" s="3">
        <f>AD25/AD23</f>
        <v>0.98620774348456608</v>
      </c>
    </row>
    <row r="26" spans="1:31" x14ac:dyDescent="0.3">
      <c r="A26" s="2">
        <v>18629</v>
      </c>
      <c r="B26" s="3">
        <v>145</v>
      </c>
      <c r="D26" s="3">
        <v>1</v>
      </c>
      <c r="E26" s="3">
        <v>145</v>
      </c>
      <c r="F26" s="3">
        <v>150</v>
      </c>
      <c r="G26" s="3">
        <v>178</v>
      </c>
      <c r="H26" s="3">
        <v>163</v>
      </c>
      <c r="I26" s="3">
        <v>172</v>
      </c>
      <c r="J26" s="3">
        <v>178</v>
      </c>
      <c r="K26" s="3">
        <v>199</v>
      </c>
      <c r="L26" s="3">
        <v>199</v>
      </c>
      <c r="M26" s="3">
        <v>184</v>
      </c>
      <c r="N26" s="3">
        <v>162</v>
      </c>
      <c r="O26" s="3">
        <v>146</v>
      </c>
      <c r="P26" s="3">
        <v>166</v>
      </c>
      <c r="R26" s="3">
        <v>171</v>
      </c>
      <c r="T26" s="3">
        <f t="shared" si="0"/>
        <v>165.01558658132501</v>
      </c>
      <c r="U26" s="3">
        <f t="shared" si="1"/>
        <v>165.01589687887099</v>
      </c>
      <c r="X26" s="2">
        <v>18629</v>
      </c>
      <c r="Y26" s="3">
        <v>145</v>
      </c>
      <c r="Z26" s="3">
        <f t="shared" si="2"/>
        <v>144.07255075290519</v>
      </c>
      <c r="AA26" s="3"/>
    </row>
    <row r="27" spans="1:31" x14ac:dyDescent="0.3">
      <c r="A27" s="2">
        <v>18660</v>
      </c>
      <c r="B27" s="3">
        <v>150</v>
      </c>
      <c r="D27" s="3">
        <v>1</v>
      </c>
      <c r="E27" s="3">
        <v>150</v>
      </c>
      <c r="F27" s="3">
        <v>178</v>
      </c>
      <c r="G27" s="3">
        <v>163</v>
      </c>
      <c r="H27" s="3">
        <v>172</v>
      </c>
      <c r="I27" s="3">
        <v>178</v>
      </c>
      <c r="J27" s="3">
        <v>199</v>
      </c>
      <c r="K27" s="3">
        <v>199</v>
      </c>
      <c r="L27" s="3">
        <v>184</v>
      </c>
      <c r="M27" s="3">
        <v>162</v>
      </c>
      <c r="N27" s="3">
        <v>146</v>
      </c>
      <c r="O27" s="3">
        <v>166</v>
      </c>
      <c r="P27" s="3">
        <v>171</v>
      </c>
      <c r="R27" s="3">
        <v>180</v>
      </c>
      <c r="T27" s="3">
        <f t="shared" si="0"/>
        <v>180.34743699972233</v>
      </c>
      <c r="U27" s="3">
        <f t="shared" si="1"/>
        <v>180.34654208469266</v>
      </c>
      <c r="X27" s="2">
        <v>18660</v>
      </c>
      <c r="Y27" s="3">
        <v>150</v>
      </c>
      <c r="Z27" s="3">
        <f t="shared" si="2"/>
        <v>145.65967021293861</v>
      </c>
      <c r="AA27" s="3"/>
    </row>
    <row r="28" spans="1:31" x14ac:dyDescent="0.3">
      <c r="A28" s="2">
        <v>18688</v>
      </c>
      <c r="B28" s="3">
        <v>178</v>
      </c>
      <c r="D28" s="3">
        <v>1</v>
      </c>
      <c r="E28" s="3">
        <v>178</v>
      </c>
      <c r="F28" s="3">
        <v>163</v>
      </c>
      <c r="G28" s="3">
        <v>172</v>
      </c>
      <c r="H28" s="3">
        <v>178</v>
      </c>
      <c r="I28" s="3">
        <v>199</v>
      </c>
      <c r="J28" s="3">
        <v>199</v>
      </c>
      <c r="K28" s="3">
        <v>184</v>
      </c>
      <c r="L28" s="3">
        <v>162</v>
      </c>
      <c r="M28" s="3">
        <v>146</v>
      </c>
      <c r="N28" s="3">
        <v>166</v>
      </c>
      <c r="O28" s="3">
        <v>171</v>
      </c>
      <c r="P28" s="3">
        <v>180</v>
      </c>
      <c r="R28" s="3">
        <v>193</v>
      </c>
      <c r="T28" s="3">
        <f t="shared" si="0"/>
        <v>194.2941415080507</v>
      </c>
      <c r="U28" s="3">
        <f t="shared" si="1"/>
        <v>194.29420833755012</v>
      </c>
      <c r="X28" s="2">
        <v>18688</v>
      </c>
      <c r="Y28" s="3">
        <v>178</v>
      </c>
      <c r="Z28" s="3">
        <f t="shared" si="2"/>
        <v>163.07822209082599</v>
      </c>
      <c r="AA28" s="3"/>
    </row>
    <row r="29" spans="1:31" x14ac:dyDescent="0.3">
      <c r="A29" s="2">
        <v>18719</v>
      </c>
      <c r="B29" s="3">
        <v>163</v>
      </c>
      <c r="D29" s="3">
        <v>1</v>
      </c>
      <c r="E29" s="3">
        <v>163</v>
      </c>
      <c r="F29" s="3">
        <v>172</v>
      </c>
      <c r="G29" s="3">
        <v>178</v>
      </c>
      <c r="H29" s="3">
        <v>199</v>
      </c>
      <c r="I29" s="3">
        <v>199</v>
      </c>
      <c r="J29" s="3">
        <v>184</v>
      </c>
      <c r="K29" s="3">
        <v>162</v>
      </c>
      <c r="L29" s="3">
        <v>146</v>
      </c>
      <c r="M29" s="3">
        <v>166</v>
      </c>
      <c r="N29" s="3">
        <v>171</v>
      </c>
      <c r="O29" s="3">
        <v>180</v>
      </c>
      <c r="P29" s="3">
        <v>193</v>
      </c>
      <c r="R29" s="3">
        <v>181</v>
      </c>
      <c r="T29" s="3">
        <f t="shared" si="0"/>
        <v>190.24463518380793</v>
      </c>
      <c r="U29" s="3">
        <f t="shared" si="1"/>
        <v>190.24452342888517</v>
      </c>
      <c r="X29" s="2">
        <v>18719</v>
      </c>
      <c r="Y29" s="3">
        <v>163</v>
      </c>
      <c r="Z29" s="3">
        <f t="shared" si="2"/>
        <v>160.83133310405248</v>
      </c>
      <c r="AA29" s="3"/>
    </row>
    <row r="30" spans="1:31" x14ac:dyDescent="0.3">
      <c r="A30" s="2">
        <v>18749</v>
      </c>
      <c r="B30" s="3">
        <v>172</v>
      </c>
      <c r="D30" s="3">
        <v>1</v>
      </c>
      <c r="E30" s="3">
        <v>172</v>
      </c>
      <c r="F30" s="3">
        <v>178</v>
      </c>
      <c r="G30" s="3">
        <v>199</v>
      </c>
      <c r="H30" s="3">
        <v>199</v>
      </c>
      <c r="I30" s="3">
        <v>184</v>
      </c>
      <c r="J30" s="3">
        <v>162</v>
      </c>
      <c r="K30" s="3">
        <v>146</v>
      </c>
      <c r="L30" s="3">
        <v>166</v>
      </c>
      <c r="M30" s="3">
        <v>171</v>
      </c>
      <c r="N30" s="3">
        <v>180</v>
      </c>
      <c r="O30" s="3">
        <v>193</v>
      </c>
      <c r="P30" s="3">
        <v>181</v>
      </c>
      <c r="R30" s="3">
        <v>183</v>
      </c>
      <c r="T30" s="3">
        <f t="shared" si="0"/>
        <v>192.11146243648113</v>
      </c>
      <c r="U30" s="3">
        <f t="shared" si="1"/>
        <v>192.1112087031388</v>
      </c>
      <c r="X30" s="2">
        <v>18749</v>
      </c>
      <c r="Y30" s="3">
        <v>172</v>
      </c>
      <c r="Z30" s="3">
        <f t="shared" si="2"/>
        <v>151.25089630824303</v>
      </c>
      <c r="AA30" s="3"/>
    </row>
    <row r="31" spans="1:31" x14ac:dyDescent="0.3">
      <c r="A31" s="2">
        <v>18780</v>
      </c>
      <c r="B31" s="3">
        <v>178</v>
      </c>
      <c r="D31" s="3">
        <v>1</v>
      </c>
      <c r="E31" s="3">
        <v>178</v>
      </c>
      <c r="F31" s="3">
        <v>199</v>
      </c>
      <c r="G31" s="3">
        <v>199</v>
      </c>
      <c r="H31" s="3">
        <v>184</v>
      </c>
      <c r="I31" s="3">
        <v>162</v>
      </c>
      <c r="J31" s="3">
        <v>146</v>
      </c>
      <c r="K31" s="3">
        <v>166</v>
      </c>
      <c r="L31" s="3">
        <v>171</v>
      </c>
      <c r="M31" s="3">
        <v>180</v>
      </c>
      <c r="N31" s="3">
        <v>193</v>
      </c>
      <c r="O31" s="3">
        <v>181</v>
      </c>
      <c r="P31" s="3">
        <v>183</v>
      </c>
      <c r="R31" s="3">
        <v>218</v>
      </c>
      <c r="T31" s="3">
        <f t="shared" si="0"/>
        <v>203.25839763172246</v>
      </c>
      <c r="U31" s="3">
        <f t="shared" si="1"/>
        <v>203.25795085684268</v>
      </c>
      <c r="X31" s="2">
        <v>18780</v>
      </c>
      <c r="Y31" s="3">
        <v>178</v>
      </c>
      <c r="Z31" s="3">
        <f t="shared" si="2"/>
        <v>181.04062313007864</v>
      </c>
      <c r="AA31" s="3"/>
    </row>
    <row r="32" spans="1:31" x14ac:dyDescent="0.3">
      <c r="A32" s="2">
        <v>18810</v>
      </c>
      <c r="B32" s="3">
        <v>199</v>
      </c>
      <c r="D32" s="3">
        <v>1</v>
      </c>
      <c r="E32" s="3">
        <v>199</v>
      </c>
      <c r="F32" s="3">
        <v>199</v>
      </c>
      <c r="G32" s="3">
        <v>184</v>
      </c>
      <c r="H32" s="3">
        <v>162</v>
      </c>
      <c r="I32" s="3">
        <v>146</v>
      </c>
      <c r="J32" s="3">
        <v>166</v>
      </c>
      <c r="K32" s="3">
        <v>171</v>
      </c>
      <c r="L32" s="3">
        <v>180</v>
      </c>
      <c r="M32" s="3">
        <v>193</v>
      </c>
      <c r="N32" s="3">
        <v>181</v>
      </c>
      <c r="O32" s="3">
        <v>183</v>
      </c>
      <c r="P32" s="3">
        <v>218</v>
      </c>
      <c r="R32" s="3">
        <v>230</v>
      </c>
      <c r="T32" s="3">
        <f t="shared" si="0"/>
        <v>232.61736360623473</v>
      </c>
      <c r="U32" s="3">
        <f t="shared" si="1"/>
        <v>232.61755319048996</v>
      </c>
      <c r="X32" s="2">
        <v>18810</v>
      </c>
      <c r="Y32" s="3">
        <v>199</v>
      </c>
      <c r="Z32" s="3">
        <f t="shared" si="2"/>
        <v>191.16807055307481</v>
      </c>
      <c r="AA32" s="3"/>
    </row>
    <row r="33" spans="1:27" x14ac:dyDescent="0.3">
      <c r="A33" s="2">
        <v>18841</v>
      </c>
      <c r="B33" s="3">
        <v>199</v>
      </c>
      <c r="D33" s="3">
        <v>1</v>
      </c>
      <c r="E33" s="3">
        <v>199</v>
      </c>
      <c r="F33" s="3">
        <v>184</v>
      </c>
      <c r="G33" s="3">
        <v>162</v>
      </c>
      <c r="H33" s="3">
        <v>146</v>
      </c>
      <c r="I33" s="3">
        <v>166</v>
      </c>
      <c r="J33" s="3">
        <v>171</v>
      </c>
      <c r="K33" s="3">
        <v>180</v>
      </c>
      <c r="L33" s="3">
        <v>193</v>
      </c>
      <c r="M33" s="3">
        <v>181</v>
      </c>
      <c r="N33" s="3">
        <v>183</v>
      </c>
      <c r="O33" s="3">
        <v>218</v>
      </c>
      <c r="P33" s="3">
        <v>230</v>
      </c>
      <c r="R33" s="3">
        <v>242</v>
      </c>
      <c r="T33" s="3">
        <f t="shared" si="0"/>
        <v>224.50545995638956</v>
      </c>
      <c r="U33" s="3">
        <f t="shared" si="1"/>
        <v>224.50565796548904</v>
      </c>
      <c r="X33" s="2">
        <v>18841</v>
      </c>
      <c r="Y33" s="3">
        <v>199</v>
      </c>
      <c r="Z33" s="3">
        <f t="shared" si="2"/>
        <v>200.49145153588978</v>
      </c>
      <c r="AA33" s="3"/>
    </row>
    <row r="34" spans="1:27" x14ac:dyDescent="0.3">
      <c r="A34" s="2">
        <v>18872</v>
      </c>
      <c r="B34" s="3">
        <v>184</v>
      </c>
      <c r="D34" s="3">
        <v>1</v>
      </c>
      <c r="E34" s="3">
        <v>184</v>
      </c>
      <c r="F34" s="3">
        <v>162</v>
      </c>
      <c r="G34" s="3">
        <v>146</v>
      </c>
      <c r="H34" s="3">
        <v>166</v>
      </c>
      <c r="I34" s="3">
        <v>171</v>
      </c>
      <c r="J34" s="3">
        <v>180</v>
      </c>
      <c r="K34" s="3">
        <v>193</v>
      </c>
      <c r="L34" s="3">
        <v>181</v>
      </c>
      <c r="M34" s="3">
        <v>183</v>
      </c>
      <c r="N34" s="3">
        <v>218</v>
      </c>
      <c r="O34" s="3">
        <v>230</v>
      </c>
      <c r="P34" s="3">
        <v>242</v>
      </c>
      <c r="R34" s="3">
        <v>209</v>
      </c>
      <c r="T34" s="3">
        <f t="shared" ref="T34:T65" si="3">SUMPRODUCT(D34:P34,$D$173:$P$173)</f>
        <v>221.27728131116908</v>
      </c>
      <c r="U34" s="3">
        <f t="shared" ref="U34:U65" si="4">SUMPRODUCT(D34:P34,$D$174:$P$174)</f>
        <v>221.27738153067381</v>
      </c>
      <c r="X34" s="2">
        <v>18872</v>
      </c>
      <c r="Y34" s="3">
        <v>184</v>
      </c>
      <c r="Z34" s="3">
        <f t="shared" si="2"/>
        <v>181.27651717613554</v>
      </c>
      <c r="AA34" s="3"/>
    </row>
    <row r="35" spans="1:27" x14ac:dyDescent="0.3">
      <c r="A35" s="2">
        <v>18902</v>
      </c>
      <c r="B35" s="3">
        <v>162</v>
      </c>
      <c r="D35" s="3">
        <v>1</v>
      </c>
      <c r="E35" s="3">
        <v>162</v>
      </c>
      <c r="F35" s="3">
        <v>146</v>
      </c>
      <c r="G35" s="3">
        <v>166</v>
      </c>
      <c r="H35" s="3">
        <v>171</v>
      </c>
      <c r="I35" s="3">
        <v>180</v>
      </c>
      <c r="J35" s="3">
        <v>193</v>
      </c>
      <c r="K35" s="3">
        <v>181</v>
      </c>
      <c r="L35" s="3">
        <v>183</v>
      </c>
      <c r="M35" s="3">
        <v>218</v>
      </c>
      <c r="N35" s="3">
        <v>230</v>
      </c>
      <c r="O35" s="3">
        <v>242</v>
      </c>
      <c r="P35" s="3">
        <v>209</v>
      </c>
      <c r="R35" s="3">
        <v>191</v>
      </c>
      <c r="T35" s="3">
        <f t="shared" si="3"/>
        <v>178.70195122295027</v>
      </c>
      <c r="U35" s="3">
        <f t="shared" si="4"/>
        <v>178.7015094412385</v>
      </c>
      <c r="X35" s="2">
        <v>18902</v>
      </c>
      <c r="Y35" s="3">
        <v>162</v>
      </c>
      <c r="Z35" s="3">
        <f t="shared" si="2"/>
        <v>159.62187321328102</v>
      </c>
      <c r="AA35" s="3"/>
    </row>
    <row r="36" spans="1:27" x14ac:dyDescent="0.3">
      <c r="A36" s="2">
        <v>18933</v>
      </c>
      <c r="B36" s="3">
        <v>146</v>
      </c>
      <c r="D36" s="3">
        <v>1</v>
      </c>
      <c r="E36" s="3">
        <v>146</v>
      </c>
      <c r="F36" s="3">
        <v>166</v>
      </c>
      <c r="G36" s="3">
        <v>171</v>
      </c>
      <c r="H36" s="3">
        <v>180</v>
      </c>
      <c r="I36" s="3">
        <v>193</v>
      </c>
      <c r="J36" s="3">
        <v>181</v>
      </c>
      <c r="K36" s="3">
        <v>183</v>
      </c>
      <c r="L36" s="3">
        <v>218</v>
      </c>
      <c r="M36" s="3">
        <v>230</v>
      </c>
      <c r="N36" s="3">
        <v>242</v>
      </c>
      <c r="O36" s="3">
        <v>209</v>
      </c>
      <c r="P36" s="3">
        <v>191</v>
      </c>
      <c r="R36" s="3">
        <v>172</v>
      </c>
      <c r="T36" s="3">
        <f t="shared" si="3"/>
        <v>179.36885290524941</v>
      </c>
      <c r="U36" s="3">
        <f t="shared" si="4"/>
        <v>179.36813757235115</v>
      </c>
      <c r="X36" s="2">
        <v>18933</v>
      </c>
      <c r="Y36" s="3">
        <v>146</v>
      </c>
      <c r="Z36" s="3">
        <f t="shared" si="2"/>
        <v>135.57645768360507</v>
      </c>
      <c r="AA36" s="3"/>
    </row>
    <row r="37" spans="1:27" x14ac:dyDescent="0.3">
      <c r="A37" s="2">
        <v>18963</v>
      </c>
      <c r="B37" s="3">
        <v>166</v>
      </c>
      <c r="D37" s="3">
        <v>1</v>
      </c>
      <c r="E37" s="3">
        <v>166</v>
      </c>
      <c r="F37" s="3">
        <v>171</v>
      </c>
      <c r="G37" s="3">
        <v>180</v>
      </c>
      <c r="H37" s="3">
        <v>193</v>
      </c>
      <c r="I37" s="3">
        <v>181</v>
      </c>
      <c r="J37" s="3">
        <v>183</v>
      </c>
      <c r="K37" s="3">
        <v>218</v>
      </c>
      <c r="L37" s="3">
        <v>230</v>
      </c>
      <c r="M37" s="3">
        <v>242</v>
      </c>
      <c r="N37" s="3">
        <v>209</v>
      </c>
      <c r="O37" s="3">
        <v>191</v>
      </c>
      <c r="P37" s="3">
        <v>172</v>
      </c>
      <c r="R37" s="3">
        <v>194</v>
      </c>
      <c r="T37" s="3">
        <f t="shared" si="3"/>
        <v>181.46983602878578</v>
      </c>
      <c r="U37" s="3">
        <f t="shared" si="4"/>
        <v>181.469775079729</v>
      </c>
      <c r="X37" s="2">
        <v>18963</v>
      </c>
      <c r="Y37" s="3">
        <v>166</v>
      </c>
      <c r="Z37" s="3">
        <f t="shared" si="2"/>
        <v>164.97008489107952</v>
      </c>
      <c r="AA37" s="3"/>
    </row>
    <row r="38" spans="1:27" x14ac:dyDescent="0.3">
      <c r="A38" s="2">
        <v>18994</v>
      </c>
      <c r="B38" s="3">
        <v>171</v>
      </c>
      <c r="D38" s="3">
        <v>1</v>
      </c>
      <c r="E38" s="3">
        <v>171</v>
      </c>
      <c r="F38" s="3">
        <v>180</v>
      </c>
      <c r="G38" s="3">
        <v>193</v>
      </c>
      <c r="H38" s="3">
        <v>181</v>
      </c>
      <c r="I38" s="3">
        <v>183</v>
      </c>
      <c r="J38" s="3">
        <v>218</v>
      </c>
      <c r="K38" s="3">
        <v>230</v>
      </c>
      <c r="L38" s="3">
        <v>242</v>
      </c>
      <c r="M38" s="3">
        <v>209</v>
      </c>
      <c r="N38" s="3">
        <v>191</v>
      </c>
      <c r="O38" s="3">
        <v>172</v>
      </c>
      <c r="P38" s="3">
        <v>194</v>
      </c>
      <c r="R38" s="3">
        <v>196</v>
      </c>
      <c r="T38" s="3">
        <f t="shared" si="3"/>
        <v>205.43561683402964</v>
      </c>
      <c r="U38" s="3">
        <f t="shared" si="4"/>
        <v>205.4355005319203</v>
      </c>
      <c r="X38" s="2">
        <v>18994</v>
      </c>
      <c r="Y38" s="3">
        <v>171</v>
      </c>
      <c r="Z38" s="3">
        <f t="shared" si="2"/>
        <v>165.01589687887099</v>
      </c>
      <c r="AA38" s="3"/>
    </row>
    <row r="39" spans="1:27" x14ac:dyDescent="0.3">
      <c r="A39" s="2">
        <v>19025</v>
      </c>
      <c r="B39" s="3">
        <v>180</v>
      </c>
      <c r="D39" s="3">
        <v>1</v>
      </c>
      <c r="E39" s="3">
        <v>180</v>
      </c>
      <c r="F39" s="3">
        <v>193</v>
      </c>
      <c r="G39" s="3">
        <v>181</v>
      </c>
      <c r="H39" s="3">
        <v>183</v>
      </c>
      <c r="I39" s="3">
        <v>218</v>
      </c>
      <c r="J39" s="3">
        <v>230</v>
      </c>
      <c r="K39" s="3">
        <v>242</v>
      </c>
      <c r="L39" s="3">
        <v>209</v>
      </c>
      <c r="M39" s="3">
        <v>191</v>
      </c>
      <c r="N39" s="3">
        <v>172</v>
      </c>
      <c r="O39" s="3">
        <v>194</v>
      </c>
      <c r="P39" s="3">
        <v>196</v>
      </c>
      <c r="R39" s="3">
        <v>196</v>
      </c>
      <c r="T39" s="3">
        <f t="shared" si="3"/>
        <v>196.42605938270481</v>
      </c>
      <c r="U39" s="3">
        <f t="shared" si="4"/>
        <v>196.42565896156637</v>
      </c>
      <c r="X39" s="2">
        <v>19025</v>
      </c>
      <c r="Y39" s="3">
        <v>180</v>
      </c>
      <c r="Z39" s="3">
        <f t="shared" si="2"/>
        <v>180.34654208469266</v>
      </c>
      <c r="AA39" s="3"/>
    </row>
    <row r="40" spans="1:27" x14ac:dyDescent="0.3">
      <c r="A40" s="2">
        <v>19054</v>
      </c>
      <c r="B40" s="3">
        <v>193</v>
      </c>
      <c r="D40" s="3">
        <v>1</v>
      </c>
      <c r="E40" s="3">
        <v>193</v>
      </c>
      <c r="F40" s="3">
        <v>181</v>
      </c>
      <c r="G40" s="3">
        <v>183</v>
      </c>
      <c r="H40" s="3">
        <v>218</v>
      </c>
      <c r="I40" s="3">
        <v>230</v>
      </c>
      <c r="J40" s="3">
        <v>242</v>
      </c>
      <c r="K40" s="3">
        <v>209</v>
      </c>
      <c r="L40" s="3">
        <v>191</v>
      </c>
      <c r="M40" s="3">
        <v>172</v>
      </c>
      <c r="N40" s="3">
        <v>194</v>
      </c>
      <c r="O40" s="3">
        <v>196</v>
      </c>
      <c r="P40" s="3">
        <v>196</v>
      </c>
      <c r="R40" s="3">
        <v>236</v>
      </c>
      <c r="T40" s="3">
        <f t="shared" si="3"/>
        <v>218.9359492702022</v>
      </c>
      <c r="U40" s="3">
        <f t="shared" si="4"/>
        <v>218.93565987870033</v>
      </c>
      <c r="X40" s="2">
        <v>19054</v>
      </c>
      <c r="Y40" s="3">
        <v>193</v>
      </c>
      <c r="Z40" s="3">
        <f t="shared" si="2"/>
        <v>194.29420833755012</v>
      </c>
      <c r="AA40" s="3"/>
    </row>
    <row r="41" spans="1:27" x14ac:dyDescent="0.3">
      <c r="A41" s="2">
        <v>19085</v>
      </c>
      <c r="B41" s="3">
        <v>181</v>
      </c>
      <c r="D41" s="3">
        <v>1</v>
      </c>
      <c r="E41" s="3">
        <v>181</v>
      </c>
      <c r="F41" s="3">
        <v>183</v>
      </c>
      <c r="G41" s="3">
        <v>218</v>
      </c>
      <c r="H41" s="3">
        <v>230</v>
      </c>
      <c r="I41" s="3">
        <v>242</v>
      </c>
      <c r="J41" s="3">
        <v>209</v>
      </c>
      <c r="K41" s="3">
        <v>191</v>
      </c>
      <c r="L41" s="3">
        <v>172</v>
      </c>
      <c r="M41" s="3">
        <v>194</v>
      </c>
      <c r="N41" s="3">
        <v>196</v>
      </c>
      <c r="O41" s="3">
        <v>196</v>
      </c>
      <c r="P41" s="3">
        <v>236</v>
      </c>
      <c r="R41" s="3">
        <v>235</v>
      </c>
      <c r="T41" s="3">
        <f t="shared" si="3"/>
        <v>210.1190910623078</v>
      </c>
      <c r="U41" s="3">
        <f t="shared" si="4"/>
        <v>210.11995053814354</v>
      </c>
      <c r="X41" s="2">
        <v>19085</v>
      </c>
      <c r="Y41" s="3">
        <v>181</v>
      </c>
      <c r="Z41" s="3">
        <f t="shared" si="2"/>
        <v>190.24452342888517</v>
      </c>
      <c r="AA41" s="3"/>
    </row>
    <row r="42" spans="1:27" x14ac:dyDescent="0.3">
      <c r="A42" s="2">
        <v>19115</v>
      </c>
      <c r="B42" s="3">
        <v>183</v>
      </c>
      <c r="D42" s="3">
        <v>1</v>
      </c>
      <c r="E42" s="3">
        <v>183</v>
      </c>
      <c r="F42" s="3">
        <v>218</v>
      </c>
      <c r="G42" s="3">
        <v>230</v>
      </c>
      <c r="H42" s="3">
        <v>242</v>
      </c>
      <c r="I42" s="3">
        <v>209</v>
      </c>
      <c r="J42" s="3">
        <v>191</v>
      </c>
      <c r="K42" s="3">
        <v>172</v>
      </c>
      <c r="L42" s="3">
        <v>194</v>
      </c>
      <c r="M42" s="3">
        <v>196</v>
      </c>
      <c r="N42" s="3">
        <v>196</v>
      </c>
      <c r="O42" s="3">
        <v>236</v>
      </c>
      <c r="P42" s="3">
        <v>235</v>
      </c>
      <c r="R42" s="3">
        <v>229</v>
      </c>
      <c r="T42" s="3">
        <f t="shared" si="3"/>
        <v>225.60682118516047</v>
      </c>
      <c r="U42" s="3">
        <f t="shared" si="4"/>
        <v>225.60617045589953</v>
      </c>
      <c r="X42" s="2">
        <v>19115</v>
      </c>
      <c r="Y42" s="3">
        <v>183</v>
      </c>
      <c r="Z42" s="3">
        <f t="shared" si="2"/>
        <v>192.1112087031388</v>
      </c>
      <c r="AA42" s="3"/>
    </row>
    <row r="43" spans="1:27" x14ac:dyDescent="0.3">
      <c r="A43" s="2">
        <v>19146</v>
      </c>
      <c r="B43" s="3">
        <v>218</v>
      </c>
      <c r="D43" s="3">
        <v>1</v>
      </c>
      <c r="E43" s="3">
        <v>218</v>
      </c>
      <c r="F43" s="3">
        <v>230</v>
      </c>
      <c r="G43" s="3">
        <v>242</v>
      </c>
      <c r="H43" s="3">
        <v>209</v>
      </c>
      <c r="I43" s="3">
        <v>191</v>
      </c>
      <c r="J43" s="3">
        <v>172</v>
      </c>
      <c r="K43" s="3">
        <v>194</v>
      </c>
      <c r="L43" s="3">
        <v>196</v>
      </c>
      <c r="M43" s="3">
        <v>196</v>
      </c>
      <c r="N43" s="3">
        <v>236</v>
      </c>
      <c r="O43" s="3">
        <v>235</v>
      </c>
      <c r="P43" s="3">
        <v>229</v>
      </c>
      <c r="R43" s="3">
        <v>243</v>
      </c>
      <c r="T43" s="3">
        <f t="shared" si="3"/>
        <v>241.53688547788852</v>
      </c>
      <c r="U43" s="3">
        <f t="shared" si="4"/>
        <v>241.53645512575793</v>
      </c>
      <c r="X43" s="2">
        <v>19146</v>
      </c>
      <c r="Y43" s="3">
        <v>218</v>
      </c>
      <c r="Z43" s="3">
        <f t="shared" si="2"/>
        <v>203.25795085684268</v>
      </c>
      <c r="AA43" s="3"/>
    </row>
    <row r="44" spans="1:27" x14ac:dyDescent="0.3">
      <c r="A44" s="2">
        <v>19176</v>
      </c>
      <c r="B44" s="3">
        <v>230</v>
      </c>
      <c r="D44" s="3">
        <v>1</v>
      </c>
      <c r="E44" s="3">
        <v>230</v>
      </c>
      <c r="F44" s="3">
        <v>242</v>
      </c>
      <c r="G44" s="3">
        <v>209</v>
      </c>
      <c r="H44" s="3">
        <v>191</v>
      </c>
      <c r="I44" s="3">
        <v>172</v>
      </c>
      <c r="J44" s="3">
        <v>194</v>
      </c>
      <c r="K44" s="3">
        <v>196</v>
      </c>
      <c r="L44" s="3">
        <v>196</v>
      </c>
      <c r="M44" s="3">
        <v>236</v>
      </c>
      <c r="N44" s="3">
        <v>235</v>
      </c>
      <c r="O44" s="3">
        <v>229</v>
      </c>
      <c r="P44" s="3">
        <v>243</v>
      </c>
      <c r="R44" s="3">
        <v>264</v>
      </c>
      <c r="T44" s="3">
        <f t="shared" si="3"/>
        <v>263.7032247013268</v>
      </c>
      <c r="U44" s="3">
        <f t="shared" si="4"/>
        <v>263.70272647815318</v>
      </c>
      <c r="X44" s="2">
        <v>19176</v>
      </c>
      <c r="Y44" s="3">
        <v>230</v>
      </c>
      <c r="Z44" s="3">
        <f t="shared" si="2"/>
        <v>232.61755319048996</v>
      </c>
      <c r="AA44" s="3"/>
    </row>
    <row r="45" spans="1:27" x14ac:dyDescent="0.3">
      <c r="A45" s="2">
        <v>19207</v>
      </c>
      <c r="B45" s="3">
        <v>242</v>
      </c>
      <c r="D45" s="3">
        <v>1</v>
      </c>
      <c r="E45" s="3">
        <v>242</v>
      </c>
      <c r="F45" s="3">
        <v>209</v>
      </c>
      <c r="G45" s="3">
        <v>191</v>
      </c>
      <c r="H45" s="3">
        <v>172</v>
      </c>
      <c r="I45" s="3">
        <v>194</v>
      </c>
      <c r="J45" s="3">
        <v>196</v>
      </c>
      <c r="K45" s="3">
        <v>196</v>
      </c>
      <c r="L45" s="3">
        <v>236</v>
      </c>
      <c r="M45" s="3">
        <v>235</v>
      </c>
      <c r="N45" s="3">
        <v>229</v>
      </c>
      <c r="O45" s="3">
        <v>243</v>
      </c>
      <c r="P45" s="3">
        <v>264</v>
      </c>
      <c r="R45" s="3">
        <v>272</v>
      </c>
      <c r="T45" s="3">
        <f t="shared" si="3"/>
        <v>268.15983481718968</v>
      </c>
      <c r="U45" s="3">
        <f t="shared" si="4"/>
        <v>268.16074155593316</v>
      </c>
      <c r="X45" s="2">
        <v>19207</v>
      </c>
      <c r="Y45" s="3">
        <v>242</v>
      </c>
      <c r="Z45" s="3">
        <f t="shared" si="2"/>
        <v>224.50565796548904</v>
      </c>
      <c r="AA45" s="3"/>
    </row>
    <row r="46" spans="1:27" x14ac:dyDescent="0.3">
      <c r="A46" s="2">
        <v>19238</v>
      </c>
      <c r="B46" s="3">
        <v>209</v>
      </c>
      <c r="D46" s="3">
        <v>1</v>
      </c>
      <c r="E46" s="3">
        <v>209</v>
      </c>
      <c r="F46" s="3">
        <v>191</v>
      </c>
      <c r="G46" s="3">
        <v>172</v>
      </c>
      <c r="H46" s="3">
        <v>194</v>
      </c>
      <c r="I46" s="3">
        <v>196</v>
      </c>
      <c r="J46" s="3">
        <v>196</v>
      </c>
      <c r="K46" s="3">
        <v>236</v>
      </c>
      <c r="L46" s="3">
        <v>235</v>
      </c>
      <c r="M46" s="3">
        <v>229</v>
      </c>
      <c r="N46" s="3">
        <v>243</v>
      </c>
      <c r="O46" s="3">
        <v>264</v>
      </c>
      <c r="P46" s="3">
        <v>272</v>
      </c>
      <c r="R46" s="3">
        <v>237</v>
      </c>
      <c r="T46" s="3">
        <f t="shared" si="3"/>
        <v>246.32282858960448</v>
      </c>
      <c r="U46" s="3">
        <f t="shared" si="4"/>
        <v>246.32322548078494</v>
      </c>
      <c r="X46" s="2">
        <v>19238</v>
      </c>
      <c r="Y46" s="3">
        <v>209</v>
      </c>
      <c r="Z46" s="3">
        <f t="shared" si="2"/>
        <v>221.27738153067381</v>
      </c>
      <c r="AA46" s="3"/>
    </row>
    <row r="47" spans="1:27" x14ac:dyDescent="0.3">
      <c r="A47" s="2">
        <v>19268</v>
      </c>
      <c r="B47" s="3">
        <v>191</v>
      </c>
      <c r="D47" s="3">
        <v>1</v>
      </c>
      <c r="E47" s="3">
        <v>191</v>
      </c>
      <c r="F47" s="3">
        <v>172</v>
      </c>
      <c r="G47" s="3">
        <v>194</v>
      </c>
      <c r="H47" s="3">
        <v>196</v>
      </c>
      <c r="I47" s="3">
        <v>196</v>
      </c>
      <c r="J47" s="3">
        <v>236</v>
      </c>
      <c r="K47" s="3">
        <v>235</v>
      </c>
      <c r="L47" s="3">
        <v>229</v>
      </c>
      <c r="M47" s="3">
        <v>243</v>
      </c>
      <c r="N47" s="3">
        <v>264</v>
      </c>
      <c r="O47" s="3">
        <v>272</v>
      </c>
      <c r="P47" s="3">
        <v>237</v>
      </c>
      <c r="R47" s="3">
        <v>211</v>
      </c>
      <c r="T47" s="3">
        <f t="shared" si="3"/>
        <v>213.57346880535144</v>
      </c>
      <c r="U47" s="3">
        <f t="shared" si="4"/>
        <v>213.57281745573707</v>
      </c>
      <c r="X47" s="2">
        <v>19268</v>
      </c>
      <c r="Y47" s="3">
        <v>191</v>
      </c>
      <c r="Z47" s="3">
        <f t="shared" si="2"/>
        <v>178.7015094412385</v>
      </c>
      <c r="AA47" s="3"/>
    </row>
    <row r="48" spans="1:27" x14ac:dyDescent="0.3">
      <c r="A48" s="2">
        <v>19299</v>
      </c>
      <c r="B48" s="3">
        <v>172</v>
      </c>
      <c r="D48" s="3">
        <v>1</v>
      </c>
      <c r="E48" s="3">
        <v>172</v>
      </c>
      <c r="F48" s="3">
        <v>194</v>
      </c>
      <c r="G48" s="3">
        <v>196</v>
      </c>
      <c r="H48" s="3">
        <v>196</v>
      </c>
      <c r="I48" s="3">
        <v>236</v>
      </c>
      <c r="J48" s="3">
        <v>235</v>
      </c>
      <c r="K48" s="3">
        <v>229</v>
      </c>
      <c r="L48" s="3">
        <v>243</v>
      </c>
      <c r="M48" s="3">
        <v>264</v>
      </c>
      <c r="N48" s="3">
        <v>272</v>
      </c>
      <c r="O48" s="3">
        <v>237</v>
      </c>
      <c r="P48" s="3">
        <v>211</v>
      </c>
      <c r="R48" s="3">
        <v>180</v>
      </c>
      <c r="T48" s="3">
        <f t="shared" si="3"/>
        <v>196.95630998651836</v>
      </c>
      <c r="U48" s="3">
        <f t="shared" si="4"/>
        <v>196.95535311389227</v>
      </c>
      <c r="X48" s="2">
        <v>19299</v>
      </c>
      <c r="Y48" s="3">
        <v>172</v>
      </c>
      <c r="Z48" s="3">
        <f t="shared" si="2"/>
        <v>179.36813757235115</v>
      </c>
      <c r="AA48" s="3"/>
    </row>
    <row r="49" spans="1:27" x14ac:dyDescent="0.3">
      <c r="A49" s="2">
        <v>19329</v>
      </c>
      <c r="B49" s="3">
        <v>194</v>
      </c>
      <c r="D49" s="3">
        <v>1</v>
      </c>
      <c r="E49" s="3">
        <v>194</v>
      </c>
      <c r="F49" s="3">
        <v>196</v>
      </c>
      <c r="G49" s="3">
        <v>196</v>
      </c>
      <c r="H49" s="3">
        <v>236</v>
      </c>
      <c r="I49" s="3">
        <v>235</v>
      </c>
      <c r="J49" s="3">
        <v>229</v>
      </c>
      <c r="K49" s="3">
        <v>243</v>
      </c>
      <c r="L49" s="3">
        <v>264</v>
      </c>
      <c r="M49" s="3">
        <v>272</v>
      </c>
      <c r="N49" s="3">
        <v>237</v>
      </c>
      <c r="O49" s="3">
        <v>211</v>
      </c>
      <c r="P49" s="3">
        <v>180</v>
      </c>
      <c r="R49" s="3">
        <v>201</v>
      </c>
      <c r="T49" s="3">
        <f t="shared" si="3"/>
        <v>208.34664206038281</v>
      </c>
      <c r="U49" s="3">
        <f t="shared" si="4"/>
        <v>208.34653932033763</v>
      </c>
      <c r="X49" s="2">
        <v>19329</v>
      </c>
      <c r="Y49" s="3">
        <v>194</v>
      </c>
      <c r="Z49" s="3">
        <f t="shared" si="2"/>
        <v>181.469775079729</v>
      </c>
      <c r="AA49" s="3"/>
    </row>
    <row r="50" spans="1:27" x14ac:dyDescent="0.3">
      <c r="A50" s="2">
        <v>19360</v>
      </c>
      <c r="B50" s="3">
        <v>196</v>
      </c>
      <c r="D50" s="3">
        <v>1</v>
      </c>
      <c r="E50" s="3">
        <v>196</v>
      </c>
      <c r="F50" s="3">
        <v>196</v>
      </c>
      <c r="G50" s="3">
        <v>236</v>
      </c>
      <c r="H50" s="3">
        <v>235</v>
      </c>
      <c r="I50" s="3">
        <v>229</v>
      </c>
      <c r="J50" s="3">
        <v>243</v>
      </c>
      <c r="K50" s="3">
        <v>264</v>
      </c>
      <c r="L50" s="3">
        <v>272</v>
      </c>
      <c r="M50" s="3">
        <v>237</v>
      </c>
      <c r="N50" s="3">
        <v>211</v>
      </c>
      <c r="O50" s="3">
        <v>180</v>
      </c>
      <c r="P50" s="3">
        <v>201</v>
      </c>
      <c r="R50" s="3">
        <v>204</v>
      </c>
      <c r="T50" s="3">
        <f t="shared" si="3"/>
        <v>221.21861973784198</v>
      </c>
      <c r="U50" s="3">
        <f t="shared" si="4"/>
        <v>221.21920016343046</v>
      </c>
      <c r="X50" s="2">
        <v>19360</v>
      </c>
      <c r="Y50" s="3">
        <v>196</v>
      </c>
      <c r="Z50" s="3">
        <f t="shared" si="2"/>
        <v>205.4355005319203</v>
      </c>
      <c r="AA50" s="3"/>
    </row>
    <row r="51" spans="1:27" x14ac:dyDescent="0.3">
      <c r="A51" s="2">
        <v>19391</v>
      </c>
      <c r="B51" s="3">
        <v>196</v>
      </c>
      <c r="D51" s="3">
        <v>1</v>
      </c>
      <c r="E51" s="3">
        <v>196</v>
      </c>
      <c r="F51" s="3">
        <v>236</v>
      </c>
      <c r="G51" s="3">
        <v>235</v>
      </c>
      <c r="H51" s="3">
        <v>229</v>
      </c>
      <c r="I51" s="3">
        <v>243</v>
      </c>
      <c r="J51" s="3">
        <v>264</v>
      </c>
      <c r="K51" s="3">
        <v>272</v>
      </c>
      <c r="L51" s="3">
        <v>237</v>
      </c>
      <c r="M51" s="3">
        <v>211</v>
      </c>
      <c r="N51" s="3">
        <v>180</v>
      </c>
      <c r="O51" s="3">
        <v>201</v>
      </c>
      <c r="P51" s="3">
        <v>204</v>
      </c>
      <c r="R51" s="3">
        <v>188</v>
      </c>
      <c r="T51" s="3">
        <f t="shared" si="3"/>
        <v>217.95074197493568</v>
      </c>
      <c r="U51" s="3">
        <f t="shared" si="4"/>
        <v>217.94987318030107</v>
      </c>
      <c r="X51" s="2">
        <v>19391</v>
      </c>
      <c r="Y51" s="3">
        <v>196</v>
      </c>
      <c r="Z51" s="3">
        <f t="shared" si="2"/>
        <v>196.42565896156637</v>
      </c>
      <c r="AA51" s="3"/>
    </row>
    <row r="52" spans="1:27" x14ac:dyDescent="0.3">
      <c r="A52" s="2">
        <v>19419</v>
      </c>
      <c r="B52" s="3">
        <v>236</v>
      </c>
      <c r="D52" s="3">
        <v>1</v>
      </c>
      <c r="E52" s="3">
        <v>236</v>
      </c>
      <c r="F52" s="3">
        <v>235</v>
      </c>
      <c r="G52" s="3">
        <v>229</v>
      </c>
      <c r="H52" s="3">
        <v>243</v>
      </c>
      <c r="I52" s="3">
        <v>264</v>
      </c>
      <c r="J52" s="3">
        <v>272</v>
      </c>
      <c r="K52" s="3">
        <v>237</v>
      </c>
      <c r="L52" s="3">
        <v>211</v>
      </c>
      <c r="M52" s="3">
        <v>180</v>
      </c>
      <c r="N52" s="3">
        <v>201</v>
      </c>
      <c r="O52" s="3">
        <v>204</v>
      </c>
      <c r="P52" s="3">
        <v>188</v>
      </c>
      <c r="R52" s="3">
        <v>235</v>
      </c>
      <c r="T52" s="3">
        <f t="shared" si="3"/>
        <v>247.06956375924318</v>
      </c>
      <c r="U52" s="3">
        <f t="shared" si="4"/>
        <v>247.06883492326219</v>
      </c>
      <c r="X52" s="2">
        <v>19419</v>
      </c>
      <c r="Y52" s="3">
        <v>236</v>
      </c>
      <c r="Z52" s="3">
        <f t="shared" si="2"/>
        <v>218.93565987870033</v>
      </c>
      <c r="AA52" s="3"/>
    </row>
    <row r="53" spans="1:27" x14ac:dyDescent="0.3">
      <c r="A53" s="2">
        <v>19450</v>
      </c>
      <c r="B53" s="3">
        <v>235</v>
      </c>
      <c r="D53" s="3">
        <v>1</v>
      </c>
      <c r="E53" s="3">
        <v>235</v>
      </c>
      <c r="F53" s="3">
        <v>229</v>
      </c>
      <c r="G53" s="3">
        <v>243</v>
      </c>
      <c r="H53" s="3">
        <v>264</v>
      </c>
      <c r="I53" s="3">
        <v>272</v>
      </c>
      <c r="J53" s="3">
        <v>237</v>
      </c>
      <c r="K53" s="3">
        <v>211</v>
      </c>
      <c r="L53" s="3">
        <v>180</v>
      </c>
      <c r="M53" s="3">
        <v>201</v>
      </c>
      <c r="N53" s="3">
        <v>204</v>
      </c>
      <c r="O53" s="3">
        <v>188</v>
      </c>
      <c r="P53" s="3">
        <v>235</v>
      </c>
      <c r="R53" s="3">
        <v>227</v>
      </c>
      <c r="T53" s="3">
        <f t="shared" si="3"/>
        <v>257.6341601921344</v>
      </c>
      <c r="U53" s="3">
        <f t="shared" si="4"/>
        <v>257.63521405848007</v>
      </c>
      <c r="X53" s="2">
        <v>19450</v>
      </c>
      <c r="Y53" s="3">
        <v>235</v>
      </c>
      <c r="Z53" s="3">
        <f t="shared" si="2"/>
        <v>210.11995053814354</v>
      </c>
      <c r="AA53" s="3"/>
    </row>
    <row r="54" spans="1:27" x14ac:dyDescent="0.3">
      <c r="A54" s="2">
        <v>19480</v>
      </c>
      <c r="B54" s="3">
        <v>229</v>
      </c>
      <c r="D54" s="3">
        <v>1</v>
      </c>
      <c r="E54" s="3">
        <v>229</v>
      </c>
      <c r="F54" s="3">
        <v>243</v>
      </c>
      <c r="G54" s="3">
        <v>264</v>
      </c>
      <c r="H54" s="3">
        <v>272</v>
      </c>
      <c r="I54" s="3">
        <v>237</v>
      </c>
      <c r="J54" s="3">
        <v>211</v>
      </c>
      <c r="K54" s="3">
        <v>180</v>
      </c>
      <c r="L54" s="3">
        <v>201</v>
      </c>
      <c r="M54" s="3">
        <v>204</v>
      </c>
      <c r="N54" s="3">
        <v>188</v>
      </c>
      <c r="O54" s="3">
        <v>235</v>
      </c>
      <c r="P54" s="3">
        <v>227</v>
      </c>
      <c r="R54" s="3">
        <v>234</v>
      </c>
      <c r="T54" s="3">
        <f t="shared" si="3"/>
        <v>251.06929956786985</v>
      </c>
      <c r="U54" s="3">
        <f t="shared" si="4"/>
        <v>251.06923673641819</v>
      </c>
      <c r="X54" s="2">
        <v>19480</v>
      </c>
      <c r="Y54" s="3">
        <v>229</v>
      </c>
      <c r="Z54" s="3">
        <f t="shared" si="2"/>
        <v>225.60617045589953</v>
      </c>
      <c r="AA54" s="3"/>
    </row>
    <row r="55" spans="1:27" x14ac:dyDescent="0.3">
      <c r="A55" s="2">
        <v>19511</v>
      </c>
      <c r="B55" s="3">
        <v>243</v>
      </c>
      <c r="D55" s="3">
        <v>1</v>
      </c>
      <c r="E55" s="3">
        <v>243</v>
      </c>
      <c r="F55" s="3">
        <v>264</v>
      </c>
      <c r="G55" s="3">
        <v>272</v>
      </c>
      <c r="H55" s="3">
        <v>237</v>
      </c>
      <c r="I55" s="3">
        <v>211</v>
      </c>
      <c r="J55" s="3">
        <v>180</v>
      </c>
      <c r="K55" s="3">
        <v>201</v>
      </c>
      <c r="L55" s="3">
        <v>204</v>
      </c>
      <c r="M55" s="3">
        <v>188</v>
      </c>
      <c r="N55" s="3">
        <v>235</v>
      </c>
      <c r="O55" s="3">
        <v>227</v>
      </c>
      <c r="P55" s="3">
        <v>234</v>
      </c>
      <c r="R55" s="3">
        <v>264</v>
      </c>
      <c r="T55" s="3">
        <f t="shared" si="3"/>
        <v>270.35649565787679</v>
      </c>
      <c r="U55" s="3">
        <f t="shared" si="4"/>
        <v>270.35613033068188</v>
      </c>
      <c r="X55" s="2">
        <v>19511</v>
      </c>
      <c r="Y55" s="3">
        <v>243</v>
      </c>
      <c r="Z55" s="3">
        <f t="shared" si="2"/>
        <v>241.53645512575793</v>
      </c>
      <c r="AA55" s="3"/>
    </row>
    <row r="56" spans="1:27" x14ac:dyDescent="0.3">
      <c r="A56" s="2">
        <v>19541</v>
      </c>
      <c r="B56" s="3">
        <v>264</v>
      </c>
      <c r="D56" s="3">
        <v>1</v>
      </c>
      <c r="E56" s="3">
        <v>264</v>
      </c>
      <c r="F56" s="3">
        <v>272</v>
      </c>
      <c r="G56" s="3">
        <v>237</v>
      </c>
      <c r="H56" s="3">
        <v>211</v>
      </c>
      <c r="I56" s="3">
        <v>180</v>
      </c>
      <c r="J56" s="3">
        <v>201</v>
      </c>
      <c r="K56" s="3">
        <v>204</v>
      </c>
      <c r="L56" s="3">
        <v>188</v>
      </c>
      <c r="M56" s="3">
        <v>235</v>
      </c>
      <c r="N56" s="3">
        <v>227</v>
      </c>
      <c r="O56" s="3">
        <v>234</v>
      </c>
      <c r="P56" s="3">
        <v>264</v>
      </c>
      <c r="R56" s="3">
        <v>302</v>
      </c>
      <c r="T56" s="3">
        <f t="shared" si="3"/>
        <v>294.84671088092961</v>
      </c>
      <c r="U56" s="3">
        <f t="shared" si="4"/>
        <v>294.84660319255926</v>
      </c>
      <c r="X56" s="2">
        <v>19541</v>
      </c>
      <c r="Y56" s="3">
        <v>264</v>
      </c>
      <c r="Z56" s="3">
        <f t="shared" si="2"/>
        <v>263.70272647815318</v>
      </c>
      <c r="AA56" s="3"/>
    </row>
    <row r="57" spans="1:27" x14ac:dyDescent="0.3">
      <c r="A57" s="2">
        <v>19572</v>
      </c>
      <c r="B57" s="3">
        <v>272</v>
      </c>
      <c r="D57" s="3">
        <v>1</v>
      </c>
      <c r="E57" s="3">
        <v>272</v>
      </c>
      <c r="F57" s="3">
        <v>237</v>
      </c>
      <c r="G57" s="3">
        <v>211</v>
      </c>
      <c r="H57" s="3">
        <v>180</v>
      </c>
      <c r="I57" s="3">
        <v>201</v>
      </c>
      <c r="J57" s="3">
        <v>204</v>
      </c>
      <c r="K57" s="3">
        <v>188</v>
      </c>
      <c r="L57" s="3">
        <v>235</v>
      </c>
      <c r="M57" s="3">
        <v>227</v>
      </c>
      <c r="N57" s="3">
        <v>234</v>
      </c>
      <c r="O57" s="3">
        <v>264</v>
      </c>
      <c r="P57" s="3">
        <v>302</v>
      </c>
      <c r="R57" s="3">
        <v>293</v>
      </c>
      <c r="T57" s="3">
        <f t="shared" si="3"/>
        <v>307.37642736029812</v>
      </c>
      <c r="U57" s="3">
        <f t="shared" si="4"/>
        <v>307.37743557090312</v>
      </c>
      <c r="X57" s="2">
        <v>19572</v>
      </c>
      <c r="Y57" s="3">
        <v>272</v>
      </c>
      <c r="Z57" s="3">
        <f t="shared" si="2"/>
        <v>268.16074155593316</v>
      </c>
      <c r="AA57" s="3"/>
    </row>
    <row r="58" spans="1:27" x14ac:dyDescent="0.3">
      <c r="A58" s="2">
        <v>19603</v>
      </c>
      <c r="B58" s="3">
        <v>237</v>
      </c>
      <c r="D58" s="3">
        <v>1</v>
      </c>
      <c r="E58" s="3">
        <v>237</v>
      </c>
      <c r="F58" s="3">
        <v>211</v>
      </c>
      <c r="G58" s="3">
        <v>180</v>
      </c>
      <c r="H58" s="3">
        <v>201</v>
      </c>
      <c r="I58" s="3">
        <v>204</v>
      </c>
      <c r="J58" s="3">
        <v>188</v>
      </c>
      <c r="K58" s="3">
        <v>235</v>
      </c>
      <c r="L58" s="3">
        <v>227</v>
      </c>
      <c r="M58" s="3">
        <v>234</v>
      </c>
      <c r="N58" s="3">
        <v>264</v>
      </c>
      <c r="O58" s="3">
        <v>302</v>
      </c>
      <c r="P58" s="3">
        <v>293</v>
      </c>
      <c r="R58" s="3">
        <v>259</v>
      </c>
      <c r="T58" s="3">
        <f t="shared" si="3"/>
        <v>266.51974704829973</v>
      </c>
      <c r="U58" s="3">
        <f t="shared" si="4"/>
        <v>266.52009896250058</v>
      </c>
      <c r="X58" s="2">
        <v>19603</v>
      </c>
      <c r="Y58" s="3">
        <v>237</v>
      </c>
      <c r="Z58" s="3">
        <f t="shared" si="2"/>
        <v>246.32322548078494</v>
      </c>
      <c r="AA58" s="3"/>
    </row>
    <row r="59" spans="1:27" x14ac:dyDescent="0.3">
      <c r="A59" s="2">
        <v>19633</v>
      </c>
      <c r="B59" s="3">
        <v>211</v>
      </c>
      <c r="D59" s="3">
        <v>1</v>
      </c>
      <c r="E59" s="3">
        <v>211</v>
      </c>
      <c r="F59" s="3">
        <v>180</v>
      </c>
      <c r="G59" s="3">
        <v>201</v>
      </c>
      <c r="H59" s="3">
        <v>204</v>
      </c>
      <c r="I59" s="3">
        <v>188</v>
      </c>
      <c r="J59" s="3">
        <v>235</v>
      </c>
      <c r="K59" s="3">
        <v>227</v>
      </c>
      <c r="L59" s="3">
        <v>234</v>
      </c>
      <c r="M59" s="3">
        <v>264</v>
      </c>
      <c r="N59" s="3">
        <v>302</v>
      </c>
      <c r="O59" s="3">
        <v>293</v>
      </c>
      <c r="P59" s="3">
        <v>259</v>
      </c>
      <c r="R59" s="3">
        <v>229</v>
      </c>
      <c r="T59" s="3">
        <f t="shared" si="3"/>
        <v>240.48358466822623</v>
      </c>
      <c r="U59" s="3">
        <f t="shared" si="4"/>
        <v>240.48301441334004</v>
      </c>
      <c r="X59" s="2">
        <v>19633</v>
      </c>
      <c r="Y59" s="3">
        <v>211</v>
      </c>
      <c r="Z59" s="3">
        <f t="shared" si="2"/>
        <v>213.57281745573707</v>
      </c>
      <c r="AA59" s="3"/>
    </row>
    <row r="60" spans="1:27" x14ac:dyDescent="0.3">
      <c r="A60" s="2">
        <v>19664</v>
      </c>
      <c r="B60" s="3">
        <v>180</v>
      </c>
      <c r="D60" s="3">
        <v>1</v>
      </c>
      <c r="E60" s="3">
        <v>180</v>
      </c>
      <c r="F60" s="3">
        <v>201</v>
      </c>
      <c r="G60" s="3">
        <v>204</v>
      </c>
      <c r="H60" s="3">
        <v>188</v>
      </c>
      <c r="I60" s="3">
        <v>235</v>
      </c>
      <c r="J60" s="3">
        <v>227</v>
      </c>
      <c r="K60" s="3">
        <v>234</v>
      </c>
      <c r="L60" s="3">
        <v>264</v>
      </c>
      <c r="M60" s="3">
        <v>302</v>
      </c>
      <c r="N60" s="3">
        <v>293</v>
      </c>
      <c r="O60" s="3">
        <v>259</v>
      </c>
      <c r="P60" s="3">
        <v>229</v>
      </c>
      <c r="R60" s="3">
        <v>203</v>
      </c>
      <c r="T60" s="3">
        <f t="shared" si="3"/>
        <v>200.48658228339281</v>
      </c>
      <c r="U60" s="3">
        <f t="shared" si="4"/>
        <v>200.48589511905368</v>
      </c>
      <c r="X60" s="2">
        <v>19664</v>
      </c>
      <c r="Y60" s="3">
        <v>180</v>
      </c>
      <c r="Z60" s="3">
        <f t="shared" si="2"/>
        <v>196.95535311389227</v>
      </c>
      <c r="AA60" s="3"/>
    </row>
    <row r="61" spans="1:27" x14ac:dyDescent="0.3">
      <c r="A61" s="2">
        <v>19694</v>
      </c>
      <c r="B61" s="3">
        <v>201</v>
      </c>
      <c r="D61" s="3">
        <v>1</v>
      </c>
      <c r="E61" s="3">
        <v>201</v>
      </c>
      <c r="F61" s="3">
        <v>204</v>
      </c>
      <c r="G61" s="3">
        <v>188</v>
      </c>
      <c r="H61" s="3">
        <v>235</v>
      </c>
      <c r="I61" s="3">
        <v>227</v>
      </c>
      <c r="J61" s="3">
        <v>234</v>
      </c>
      <c r="K61" s="3">
        <v>264</v>
      </c>
      <c r="L61" s="3">
        <v>302</v>
      </c>
      <c r="M61" s="3">
        <v>293</v>
      </c>
      <c r="N61" s="3">
        <v>259</v>
      </c>
      <c r="O61" s="3">
        <v>229</v>
      </c>
      <c r="P61" s="3">
        <v>203</v>
      </c>
      <c r="R61" s="3">
        <v>229</v>
      </c>
      <c r="T61" s="3">
        <f t="shared" si="3"/>
        <v>229.74935356514476</v>
      </c>
      <c r="U61" s="3">
        <f t="shared" si="4"/>
        <v>229.74919059030694</v>
      </c>
      <c r="X61" s="2">
        <v>19694</v>
      </c>
      <c r="Y61" s="3">
        <v>201</v>
      </c>
      <c r="Z61" s="3">
        <f t="shared" si="2"/>
        <v>208.34653932033763</v>
      </c>
      <c r="AA61" s="3"/>
    </row>
    <row r="62" spans="1:27" x14ac:dyDescent="0.3">
      <c r="A62" s="2">
        <v>19725</v>
      </c>
      <c r="B62" s="3">
        <v>204</v>
      </c>
      <c r="D62" s="3">
        <v>1</v>
      </c>
      <c r="E62" s="3">
        <v>204</v>
      </c>
      <c r="F62" s="3">
        <v>188</v>
      </c>
      <c r="G62" s="3">
        <v>235</v>
      </c>
      <c r="H62" s="3">
        <v>227</v>
      </c>
      <c r="I62" s="3">
        <v>234</v>
      </c>
      <c r="J62" s="3">
        <v>264</v>
      </c>
      <c r="K62" s="3">
        <v>302</v>
      </c>
      <c r="L62" s="3">
        <v>293</v>
      </c>
      <c r="M62" s="3">
        <v>259</v>
      </c>
      <c r="N62" s="3">
        <v>229</v>
      </c>
      <c r="O62" s="3">
        <v>203</v>
      </c>
      <c r="P62" s="3">
        <v>229</v>
      </c>
      <c r="R62" s="3">
        <v>242</v>
      </c>
      <c r="T62" s="3">
        <f t="shared" si="3"/>
        <v>226.31679670944749</v>
      </c>
      <c r="U62" s="3">
        <f t="shared" si="4"/>
        <v>226.31776801805194</v>
      </c>
      <c r="X62" s="2">
        <v>19725</v>
      </c>
      <c r="Y62" s="3">
        <v>204</v>
      </c>
      <c r="Z62" s="3">
        <f t="shared" si="2"/>
        <v>221.21920016343046</v>
      </c>
      <c r="AA62" s="3"/>
    </row>
    <row r="63" spans="1:27" x14ac:dyDescent="0.3">
      <c r="A63" s="2">
        <v>19756</v>
      </c>
      <c r="B63" s="3">
        <v>188</v>
      </c>
      <c r="D63" s="3">
        <v>1</v>
      </c>
      <c r="E63" s="3">
        <v>188</v>
      </c>
      <c r="F63" s="3">
        <v>235</v>
      </c>
      <c r="G63" s="3">
        <v>227</v>
      </c>
      <c r="H63" s="3">
        <v>234</v>
      </c>
      <c r="I63" s="3">
        <v>264</v>
      </c>
      <c r="J63" s="3">
        <v>302</v>
      </c>
      <c r="K63" s="3">
        <v>293</v>
      </c>
      <c r="L63" s="3">
        <v>259</v>
      </c>
      <c r="M63" s="3">
        <v>229</v>
      </c>
      <c r="N63" s="3">
        <v>203</v>
      </c>
      <c r="O63" s="3">
        <v>229</v>
      </c>
      <c r="P63" s="3">
        <v>242</v>
      </c>
      <c r="R63" s="3">
        <v>233</v>
      </c>
      <c r="T63" s="3">
        <f t="shared" si="3"/>
        <v>228.13568995064907</v>
      </c>
      <c r="U63" s="3">
        <f t="shared" si="4"/>
        <v>228.13454737962823</v>
      </c>
      <c r="X63" s="2">
        <v>19756</v>
      </c>
      <c r="Y63" s="3">
        <v>188</v>
      </c>
      <c r="Z63" s="3">
        <f t="shared" si="2"/>
        <v>217.94987318030107</v>
      </c>
      <c r="AA63" s="3"/>
    </row>
    <row r="64" spans="1:27" x14ac:dyDescent="0.3">
      <c r="A64" s="2">
        <v>19784</v>
      </c>
      <c r="B64" s="3">
        <v>235</v>
      </c>
      <c r="D64" s="3">
        <v>1</v>
      </c>
      <c r="E64" s="3">
        <v>235</v>
      </c>
      <c r="F64" s="3">
        <v>227</v>
      </c>
      <c r="G64" s="3">
        <v>234</v>
      </c>
      <c r="H64" s="3">
        <v>264</v>
      </c>
      <c r="I64" s="3">
        <v>302</v>
      </c>
      <c r="J64" s="3">
        <v>293</v>
      </c>
      <c r="K64" s="3">
        <v>259</v>
      </c>
      <c r="L64" s="3">
        <v>229</v>
      </c>
      <c r="M64" s="3">
        <v>203</v>
      </c>
      <c r="N64" s="3">
        <v>229</v>
      </c>
      <c r="O64" s="3">
        <v>242</v>
      </c>
      <c r="P64" s="3">
        <v>233</v>
      </c>
      <c r="R64" s="3">
        <v>267</v>
      </c>
      <c r="T64" s="3">
        <f t="shared" si="3"/>
        <v>252.0393905353973</v>
      </c>
      <c r="U64" s="3">
        <f t="shared" si="4"/>
        <v>252.03917666922845</v>
      </c>
      <c r="X64" s="2">
        <v>19784</v>
      </c>
      <c r="Y64" s="3">
        <v>235</v>
      </c>
      <c r="Z64" s="3">
        <f t="shared" si="2"/>
        <v>247.06883492326219</v>
      </c>
      <c r="AA64" s="3"/>
    </row>
    <row r="65" spans="1:27" x14ac:dyDescent="0.3">
      <c r="A65" s="2">
        <v>19815</v>
      </c>
      <c r="B65" s="3">
        <v>227</v>
      </c>
      <c r="D65" s="3">
        <v>1</v>
      </c>
      <c r="E65" s="3">
        <v>227</v>
      </c>
      <c r="F65" s="3">
        <v>234</v>
      </c>
      <c r="G65" s="3">
        <v>264</v>
      </c>
      <c r="H65" s="3">
        <v>302</v>
      </c>
      <c r="I65" s="3">
        <v>293</v>
      </c>
      <c r="J65" s="3">
        <v>259</v>
      </c>
      <c r="K65" s="3">
        <v>229</v>
      </c>
      <c r="L65" s="3">
        <v>203</v>
      </c>
      <c r="M65" s="3">
        <v>229</v>
      </c>
      <c r="N65" s="3">
        <v>242</v>
      </c>
      <c r="O65" s="3">
        <v>233</v>
      </c>
      <c r="P65" s="3">
        <v>267</v>
      </c>
      <c r="R65" s="3">
        <v>269</v>
      </c>
      <c r="T65" s="3">
        <f t="shared" si="3"/>
        <v>263.05886002481236</v>
      </c>
      <c r="U65" s="3">
        <f t="shared" si="4"/>
        <v>263.05949611406982</v>
      </c>
      <c r="X65" s="2">
        <v>19815</v>
      </c>
      <c r="Y65" s="3">
        <v>227</v>
      </c>
      <c r="Z65" s="3">
        <f t="shared" si="2"/>
        <v>257.63521405848007</v>
      </c>
      <c r="AA65" s="3"/>
    </row>
    <row r="66" spans="1:27" x14ac:dyDescent="0.3">
      <c r="A66" s="2">
        <v>19845</v>
      </c>
      <c r="B66" s="3">
        <v>234</v>
      </c>
      <c r="D66" s="3">
        <v>1</v>
      </c>
      <c r="E66" s="3">
        <v>234</v>
      </c>
      <c r="F66" s="3">
        <v>264</v>
      </c>
      <c r="G66" s="3">
        <v>302</v>
      </c>
      <c r="H66" s="3">
        <v>293</v>
      </c>
      <c r="I66" s="3">
        <v>259</v>
      </c>
      <c r="J66" s="3">
        <v>229</v>
      </c>
      <c r="K66" s="3">
        <v>203</v>
      </c>
      <c r="L66" s="3">
        <v>229</v>
      </c>
      <c r="M66" s="3">
        <v>242</v>
      </c>
      <c r="N66" s="3">
        <v>233</v>
      </c>
      <c r="O66" s="3">
        <v>267</v>
      </c>
      <c r="P66" s="3">
        <v>269</v>
      </c>
      <c r="R66" s="3">
        <v>270</v>
      </c>
      <c r="T66" s="3">
        <f t="shared" ref="T66:T97" si="5">SUMPRODUCT(D66:P66,$D$173:$P$173)</f>
        <v>266.86449790947842</v>
      </c>
      <c r="U66" s="3">
        <f t="shared" ref="U66:U97" si="6">SUMPRODUCT(D66:P66,$D$174:$P$174)</f>
        <v>266.8643936367543</v>
      </c>
      <c r="X66" s="2">
        <v>19845</v>
      </c>
      <c r="Y66" s="3">
        <v>234</v>
      </c>
      <c r="Z66" s="3">
        <f t="shared" si="2"/>
        <v>251.06923673641819</v>
      </c>
      <c r="AA66" s="3"/>
    </row>
    <row r="67" spans="1:27" x14ac:dyDescent="0.3">
      <c r="A67" s="2">
        <v>19876</v>
      </c>
      <c r="B67" s="3">
        <v>264</v>
      </c>
      <c r="D67" s="3">
        <v>1</v>
      </c>
      <c r="E67" s="3">
        <v>264</v>
      </c>
      <c r="F67" s="3">
        <v>302</v>
      </c>
      <c r="G67" s="3">
        <v>293</v>
      </c>
      <c r="H67" s="3">
        <v>259</v>
      </c>
      <c r="I67" s="3">
        <v>229</v>
      </c>
      <c r="J67" s="3">
        <v>203</v>
      </c>
      <c r="K67" s="3">
        <v>229</v>
      </c>
      <c r="L67" s="3">
        <v>242</v>
      </c>
      <c r="M67" s="3">
        <v>233</v>
      </c>
      <c r="N67" s="3">
        <v>267</v>
      </c>
      <c r="O67" s="3">
        <v>269</v>
      </c>
      <c r="P67" s="3">
        <v>270</v>
      </c>
      <c r="R67" s="3">
        <v>315</v>
      </c>
      <c r="T67" s="3">
        <f t="shared" si="5"/>
        <v>299.83995597749924</v>
      </c>
      <c r="U67" s="3">
        <f t="shared" si="6"/>
        <v>299.83921832043228</v>
      </c>
      <c r="X67" s="2">
        <v>19876</v>
      </c>
      <c r="Y67" s="3">
        <v>264</v>
      </c>
      <c r="Z67" s="3">
        <f t="shared" si="2"/>
        <v>270.35613033068188</v>
      </c>
      <c r="AA67" s="3"/>
    </row>
    <row r="68" spans="1:27" x14ac:dyDescent="0.3">
      <c r="A68" s="2">
        <v>19906</v>
      </c>
      <c r="B68" s="3">
        <v>302</v>
      </c>
      <c r="D68" s="3">
        <v>1</v>
      </c>
      <c r="E68" s="3">
        <v>302</v>
      </c>
      <c r="F68" s="3">
        <v>293</v>
      </c>
      <c r="G68" s="3">
        <v>259</v>
      </c>
      <c r="H68" s="3">
        <v>229</v>
      </c>
      <c r="I68" s="3">
        <v>203</v>
      </c>
      <c r="J68" s="3">
        <v>229</v>
      </c>
      <c r="K68" s="3">
        <v>242</v>
      </c>
      <c r="L68" s="3">
        <v>233</v>
      </c>
      <c r="M68" s="3">
        <v>267</v>
      </c>
      <c r="N68" s="3">
        <v>269</v>
      </c>
      <c r="O68" s="3">
        <v>270</v>
      </c>
      <c r="P68" s="3">
        <v>315</v>
      </c>
      <c r="R68" s="3">
        <v>364</v>
      </c>
      <c r="T68" s="3">
        <f t="shared" si="5"/>
        <v>340.20070562072175</v>
      </c>
      <c r="U68" s="3">
        <f t="shared" si="6"/>
        <v>340.20117043828395</v>
      </c>
      <c r="X68" s="2">
        <v>19906</v>
      </c>
      <c r="Y68" s="3">
        <v>302</v>
      </c>
      <c r="Z68" s="3">
        <f t="shared" si="2"/>
        <v>294.84660319255926</v>
      </c>
      <c r="AA68" s="3"/>
    </row>
    <row r="69" spans="1:27" x14ac:dyDescent="0.3">
      <c r="A69" s="2">
        <v>19937</v>
      </c>
      <c r="B69" s="3">
        <v>293</v>
      </c>
      <c r="D69" s="3">
        <v>1</v>
      </c>
      <c r="E69" s="3">
        <v>293</v>
      </c>
      <c r="F69" s="3">
        <v>259</v>
      </c>
      <c r="G69" s="3">
        <v>229</v>
      </c>
      <c r="H69" s="3">
        <v>203</v>
      </c>
      <c r="I69" s="3">
        <v>229</v>
      </c>
      <c r="J69" s="3">
        <v>242</v>
      </c>
      <c r="K69" s="3">
        <v>233</v>
      </c>
      <c r="L69" s="3">
        <v>267</v>
      </c>
      <c r="M69" s="3">
        <v>269</v>
      </c>
      <c r="N69" s="3">
        <v>270</v>
      </c>
      <c r="O69" s="3">
        <v>315</v>
      </c>
      <c r="P69" s="3">
        <v>364</v>
      </c>
      <c r="R69" s="3">
        <v>347</v>
      </c>
      <c r="T69" s="3">
        <f t="shared" si="5"/>
        <v>338.550321947729</v>
      </c>
      <c r="U69" s="3">
        <f t="shared" si="6"/>
        <v>338.55150056852131</v>
      </c>
      <c r="X69" s="2">
        <v>19937</v>
      </c>
      <c r="Y69" s="3">
        <v>293</v>
      </c>
      <c r="Z69" s="3">
        <f t="shared" si="2"/>
        <v>307.37743557090312</v>
      </c>
      <c r="AA69" s="3"/>
    </row>
    <row r="70" spans="1:27" x14ac:dyDescent="0.3">
      <c r="A70" s="2">
        <v>19968</v>
      </c>
      <c r="B70" s="3">
        <v>259</v>
      </c>
      <c r="D70" s="3">
        <v>1</v>
      </c>
      <c r="E70" s="3">
        <v>259</v>
      </c>
      <c r="F70" s="3">
        <v>229</v>
      </c>
      <c r="G70" s="3">
        <v>203</v>
      </c>
      <c r="H70" s="3">
        <v>229</v>
      </c>
      <c r="I70" s="3">
        <v>242</v>
      </c>
      <c r="J70" s="3">
        <v>233</v>
      </c>
      <c r="K70" s="3">
        <v>267</v>
      </c>
      <c r="L70" s="3">
        <v>269</v>
      </c>
      <c r="M70" s="3">
        <v>270</v>
      </c>
      <c r="N70" s="3">
        <v>315</v>
      </c>
      <c r="O70" s="3">
        <v>364</v>
      </c>
      <c r="P70" s="3">
        <v>347</v>
      </c>
      <c r="R70" s="3">
        <v>312</v>
      </c>
      <c r="T70" s="3">
        <f t="shared" si="5"/>
        <v>298.31817623443965</v>
      </c>
      <c r="U70" s="3">
        <f t="shared" si="6"/>
        <v>298.3183783165523</v>
      </c>
      <c r="X70" s="2">
        <v>19968</v>
      </c>
      <c r="Y70" s="3">
        <v>259</v>
      </c>
      <c r="Z70" s="3">
        <f t="shared" si="2"/>
        <v>266.52009896250058</v>
      </c>
      <c r="AA70" s="3"/>
    </row>
    <row r="71" spans="1:27" x14ac:dyDescent="0.3">
      <c r="A71" s="2">
        <v>19998</v>
      </c>
      <c r="B71" s="3">
        <v>229</v>
      </c>
      <c r="D71" s="3">
        <v>1</v>
      </c>
      <c r="E71" s="3">
        <v>229</v>
      </c>
      <c r="F71" s="3">
        <v>203</v>
      </c>
      <c r="G71" s="3">
        <v>229</v>
      </c>
      <c r="H71" s="3">
        <v>242</v>
      </c>
      <c r="I71" s="3">
        <v>233</v>
      </c>
      <c r="J71" s="3">
        <v>267</v>
      </c>
      <c r="K71" s="3">
        <v>269</v>
      </c>
      <c r="L71" s="3">
        <v>270</v>
      </c>
      <c r="M71" s="3">
        <v>315</v>
      </c>
      <c r="N71" s="3">
        <v>364</v>
      </c>
      <c r="O71" s="3">
        <v>347</v>
      </c>
      <c r="P71" s="3">
        <v>312</v>
      </c>
      <c r="R71" s="3">
        <v>274</v>
      </c>
      <c r="T71" s="3">
        <f t="shared" si="5"/>
        <v>265.99334217268915</v>
      </c>
      <c r="U71" s="3">
        <f t="shared" si="6"/>
        <v>265.99286561155702</v>
      </c>
      <c r="X71" s="2">
        <v>19998</v>
      </c>
      <c r="Y71" s="3">
        <v>229</v>
      </c>
      <c r="Z71" s="3">
        <f t="shared" si="2"/>
        <v>240.48301441334004</v>
      </c>
      <c r="AA71" s="3"/>
    </row>
    <row r="72" spans="1:27" x14ac:dyDescent="0.3">
      <c r="A72" s="2">
        <v>20029</v>
      </c>
      <c r="B72" s="3">
        <v>203</v>
      </c>
      <c r="D72" s="3">
        <v>1</v>
      </c>
      <c r="E72" s="3">
        <v>203</v>
      </c>
      <c r="F72" s="3">
        <v>229</v>
      </c>
      <c r="G72" s="3">
        <v>242</v>
      </c>
      <c r="H72" s="3">
        <v>233</v>
      </c>
      <c r="I72" s="3">
        <v>267</v>
      </c>
      <c r="J72" s="3">
        <v>269</v>
      </c>
      <c r="K72" s="3">
        <v>270</v>
      </c>
      <c r="L72" s="3">
        <v>315</v>
      </c>
      <c r="M72" s="3">
        <v>364</v>
      </c>
      <c r="N72" s="3">
        <v>347</v>
      </c>
      <c r="O72" s="3">
        <v>312</v>
      </c>
      <c r="P72" s="3">
        <v>274</v>
      </c>
      <c r="R72" s="3">
        <v>237</v>
      </c>
      <c r="T72" s="3">
        <f t="shared" si="5"/>
        <v>232.85226533059964</v>
      </c>
      <c r="U72" s="3">
        <f t="shared" si="6"/>
        <v>232.85147042130848</v>
      </c>
      <c r="X72" s="2">
        <v>20029</v>
      </c>
      <c r="Y72" s="3">
        <v>203</v>
      </c>
      <c r="Z72" s="3">
        <f t="shared" si="2"/>
        <v>200.48589511905368</v>
      </c>
      <c r="AA72" s="3"/>
    </row>
    <row r="73" spans="1:27" x14ac:dyDescent="0.3">
      <c r="A73" s="2">
        <v>20059</v>
      </c>
      <c r="B73" s="3">
        <v>229</v>
      </c>
      <c r="D73" s="3">
        <v>1</v>
      </c>
      <c r="E73" s="3">
        <v>229</v>
      </c>
      <c r="F73" s="3">
        <v>242</v>
      </c>
      <c r="G73" s="3">
        <v>233</v>
      </c>
      <c r="H73" s="3">
        <v>267</v>
      </c>
      <c r="I73" s="3">
        <v>269</v>
      </c>
      <c r="J73" s="3">
        <v>270</v>
      </c>
      <c r="K73" s="3">
        <v>315</v>
      </c>
      <c r="L73" s="3">
        <v>364</v>
      </c>
      <c r="M73" s="3">
        <v>347</v>
      </c>
      <c r="N73" s="3">
        <v>312</v>
      </c>
      <c r="O73" s="3">
        <v>274</v>
      </c>
      <c r="P73" s="3">
        <v>237</v>
      </c>
      <c r="R73" s="3">
        <v>278</v>
      </c>
      <c r="T73" s="3">
        <f t="shared" si="5"/>
        <v>257.60915189484462</v>
      </c>
      <c r="U73" s="3">
        <f t="shared" si="6"/>
        <v>257.60888021601505</v>
      </c>
      <c r="X73" s="2">
        <v>20059</v>
      </c>
      <c r="Y73" s="3">
        <v>229</v>
      </c>
      <c r="Z73" s="3">
        <f t="shared" si="2"/>
        <v>229.74919059030694</v>
      </c>
      <c r="AA73" s="3"/>
    </row>
    <row r="74" spans="1:27" x14ac:dyDescent="0.3">
      <c r="A74" s="2">
        <v>20090</v>
      </c>
      <c r="B74" s="3">
        <v>242</v>
      </c>
      <c r="D74" s="3">
        <v>1</v>
      </c>
      <c r="E74" s="3">
        <v>242</v>
      </c>
      <c r="F74" s="3">
        <v>233</v>
      </c>
      <c r="G74" s="3">
        <v>267</v>
      </c>
      <c r="H74" s="3">
        <v>269</v>
      </c>
      <c r="I74" s="3">
        <v>270</v>
      </c>
      <c r="J74" s="3">
        <v>315</v>
      </c>
      <c r="K74" s="3">
        <v>364</v>
      </c>
      <c r="L74" s="3">
        <v>347</v>
      </c>
      <c r="M74" s="3">
        <v>312</v>
      </c>
      <c r="N74" s="3">
        <v>274</v>
      </c>
      <c r="O74" s="3">
        <v>237</v>
      </c>
      <c r="P74" s="3">
        <v>278</v>
      </c>
      <c r="R74" s="3">
        <v>284</v>
      </c>
      <c r="T74" s="3">
        <f t="shared" si="5"/>
        <v>277.16022310842084</v>
      </c>
      <c r="U74" s="3">
        <f t="shared" si="6"/>
        <v>277.16125959977114</v>
      </c>
      <c r="X74" s="2">
        <v>20090</v>
      </c>
      <c r="Y74" s="3">
        <v>242</v>
      </c>
      <c r="Z74" s="3">
        <f t="shared" si="2"/>
        <v>226.31776801805194</v>
      </c>
      <c r="AA74" s="3"/>
    </row>
    <row r="75" spans="1:27" x14ac:dyDescent="0.3">
      <c r="A75" s="2">
        <v>20121</v>
      </c>
      <c r="B75" s="3">
        <v>233</v>
      </c>
      <c r="D75" s="3">
        <v>1</v>
      </c>
      <c r="E75" s="3">
        <v>233</v>
      </c>
      <c r="F75" s="3">
        <v>267</v>
      </c>
      <c r="G75" s="3">
        <v>269</v>
      </c>
      <c r="H75" s="3">
        <v>270</v>
      </c>
      <c r="I75" s="3">
        <v>315</v>
      </c>
      <c r="J75" s="3">
        <v>364</v>
      </c>
      <c r="K75" s="3">
        <v>347</v>
      </c>
      <c r="L75" s="3">
        <v>312</v>
      </c>
      <c r="M75" s="3">
        <v>274</v>
      </c>
      <c r="N75" s="3">
        <v>237</v>
      </c>
      <c r="O75" s="3">
        <v>278</v>
      </c>
      <c r="P75" s="3">
        <v>284</v>
      </c>
      <c r="R75" s="3">
        <v>277</v>
      </c>
      <c r="T75" s="3">
        <f t="shared" si="5"/>
        <v>266.62602854210382</v>
      </c>
      <c r="U75" s="3">
        <f t="shared" si="6"/>
        <v>266.62515063691552</v>
      </c>
      <c r="X75" s="2">
        <v>20121</v>
      </c>
      <c r="Y75" s="3">
        <v>233</v>
      </c>
      <c r="Z75" s="3">
        <f t="shared" si="2"/>
        <v>228.13454737962823</v>
      </c>
      <c r="AA75" s="3"/>
    </row>
    <row r="76" spans="1:27" x14ac:dyDescent="0.3">
      <c r="A76" s="2">
        <v>20149</v>
      </c>
      <c r="B76" s="3">
        <v>267</v>
      </c>
      <c r="D76" s="3">
        <v>1</v>
      </c>
      <c r="E76" s="3">
        <v>267</v>
      </c>
      <c r="F76" s="3">
        <v>269</v>
      </c>
      <c r="G76" s="3">
        <v>270</v>
      </c>
      <c r="H76" s="3">
        <v>315</v>
      </c>
      <c r="I76" s="3">
        <v>364</v>
      </c>
      <c r="J76" s="3">
        <v>347</v>
      </c>
      <c r="K76" s="3">
        <v>312</v>
      </c>
      <c r="L76" s="3">
        <v>274</v>
      </c>
      <c r="M76" s="3">
        <v>237</v>
      </c>
      <c r="N76" s="3">
        <v>278</v>
      </c>
      <c r="O76" s="3">
        <v>284</v>
      </c>
      <c r="P76" s="3">
        <v>277</v>
      </c>
      <c r="R76" s="3">
        <v>317</v>
      </c>
      <c r="T76" s="3">
        <f t="shared" si="5"/>
        <v>293.46626488100026</v>
      </c>
      <c r="U76" s="3">
        <f t="shared" si="6"/>
        <v>293.46590041344871</v>
      </c>
      <c r="X76" s="2">
        <v>20149</v>
      </c>
      <c r="Y76" s="3">
        <v>267</v>
      </c>
      <c r="Z76" s="3">
        <f t="shared" si="2"/>
        <v>252.03917666922845</v>
      </c>
      <c r="AA76" s="3"/>
    </row>
    <row r="77" spans="1:27" x14ac:dyDescent="0.3">
      <c r="A77" s="2">
        <v>20180</v>
      </c>
      <c r="B77" s="3">
        <v>269</v>
      </c>
      <c r="D77" s="3">
        <v>1</v>
      </c>
      <c r="E77" s="3">
        <v>269</v>
      </c>
      <c r="F77" s="3">
        <v>270</v>
      </c>
      <c r="G77" s="3">
        <v>315</v>
      </c>
      <c r="H77" s="3">
        <v>364</v>
      </c>
      <c r="I77" s="3">
        <v>347</v>
      </c>
      <c r="J77" s="3">
        <v>312</v>
      </c>
      <c r="K77" s="3">
        <v>274</v>
      </c>
      <c r="L77" s="3">
        <v>237</v>
      </c>
      <c r="M77" s="3">
        <v>278</v>
      </c>
      <c r="N77" s="3">
        <v>284</v>
      </c>
      <c r="O77" s="3">
        <v>277</v>
      </c>
      <c r="P77" s="3">
        <v>317</v>
      </c>
      <c r="R77" s="3">
        <v>313</v>
      </c>
      <c r="T77" s="3">
        <f t="shared" si="5"/>
        <v>306.500575751121</v>
      </c>
      <c r="U77" s="3">
        <f t="shared" si="6"/>
        <v>306.50165244708285</v>
      </c>
      <c r="X77" s="2">
        <v>20180</v>
      </c>
      <c r="Y77" s="3">
        <v>269</v>
      </c>
      <c r="Z77" s="3">
        <f t="shared" si="2"/>
        <v>263.05949611406982</v>
      </c>
      <c r="AA77" s="3"/>
    </row>
    <row r="78" spans="1:27" x14ac:dyDescent="0.3">
      <c r="A78" s="2">
        <v>20210</v>
      </c>
      <c r="B78" s="3">
        <v>270</v>
      </c>
      <c r="D78" s="3">
        <v>1</v>
      </c>
      <c r="E78" s="3">
        <v>270</v>
      </c>
      <c r="F78" s="3">
        <v>315</v>
      </c>
      <c r="G78" s="3">
        <v>364</v>
      </c>
      <c r="H78" s="3">
        <v>347</v>
      </c>
      <c r="I78" s="3">
        <v>312</v>
      </c>
      <c r="J78" s="3">
        <v>274</v>
      </c>
      <c r="K78" s="3">
        <v>237</v>
      </c>
      <c r="L78" s="3">
        <v>278</v>
      </c>
      <c r="M78" s="3">
        <v>284</v>
      </c>
      <c r="N78" s="3">
        <v>277</v>
      </c>
      <c r="O78" s="3">
        <v>317</v>
      </c>
      <c r="P78" s="3">
        <v>313</v>
      </c>
      <c r="R78" s="3">
        <v>318</v>
      </c>
      <c r="T78" s="3">
        <f t="shared" si="5"/>
        <v>308.51012609846202</v>
      </c>
      <c r="U78" s="3">
        <f t="shared" si="6"/>
        <v>308.50981187174477</v>
      </c>
      <c r="X78" s="2">
        <v>20210</v>
      </c>
      <c r="Y78" s="3">
        <v>270</v>
      </c>
      <c r="Z78" s="3">
        <f t="shared" si="2"/>
        <v>266.8643936367543</v>
      </c>
      <c r="AA78" s="3"/>
    </row>
    <row r="79" spans="1:27" x14ac:dyDescent="0.3">
      <c r="A79" s="2">
        <v>20241</v>
      </c>
      <c r="B79" s="3">
        <v>315</v>
      </c>
      <c r="D79" s="3">
        <v>1</v>
      </c>
      <c r="E79" s="3">
        <v>315</v>
      </c>
      <c r="F79" s="3">
        <v>364</v>
      </c>
      <c r="G79" s="3">
        <v>347</v>
      </c>
      <c r="H79" s="3">
        <v>312</v>
      </c>
      <c r="I79" s="3">
        <v>274</v>
      </c>
      <c r="J79" s="3">
        <v>237</v>
      </c>
      <c r="K79" s="3">
        <v>278</v>
      </c>
      <c r="L79" s="3">
        <v>284</v>
      </c>
      <c r="M79" s="3">
        <v>277</v>
      </c>
      <c r="N79" s="3">
        <v>317</v>
      </c>
      <c r="O79" s="3">
        <v>313</v>
      </c>
      <c r="P79" s="3">
        <v>318</v>
      </c>
      <c r="R79" s="3">
        <v>374</v>
      </c>
      <c r="T79" s="3">
        <f t="shared" si="5"/>
        <v>355.62668124153026</v>
      </c>
      <c r="U79" s="3">
        <f t="shared" si="6"/>
        <v>355.62596220894147</v>
      </c>
      <c r="X79" s="2">
        <v>20241</v>
      </c>
      <c r="Y79" s="3">
        <v>315</v>
      </c>
      <c r="Z79" s="3">
        <f t="shared" ref="Z79:Z142" si="7">U67</f>
        <v>299.83921832043228</v>
      </c>
      <c r="AA79" s="3"/>
    </row>
    <row r="80" spans="1:27" x14ac:dyDescent="0.3">
      <c r="A80" s="2">
        <v>20271</v>
      </c>
      <c r="B80" s="3">
        <v>364</v>
      </c>
      <c r="D80" s="3">
        <v>1</v>
      </c>
      <c r="E80" s="3">
        <v>364</v>
      </c>
      <c r="F80" s="3">
        <v>347</v>
      </c>
      <c r="G80" s="3">
        <v>312</v>
      </c>
      <c r="H80" s="3">
        <v>274</v>
      </c>
      <c r="I80" s="3">
        <v>237</v>
      </c>
      <c r="J80" s="3">
        <v>278</v>
      </c>
      <c r="K80" s="3">
        <v>284</v>
      </c>
      <c r="L80" s="3">
        <v>277</v>
      </c>
      <c r="M80" s="3">
        <v>317</v>
      </c>
      <c r="N80" s="3">
        <v>313</v>
      </c>
      <c r="O80" s="3">
        <v>318</v>
      </c>
      <c r="P80" s="3">
        <v>374</v>
      </c>
      <c r="R80" s="3">
        <v>413</v>
      </c>
      <c r="T80" s="3">
        <f t="shared" si="5"/>
        <v>407.03468032567639</v>
      </c>
      <c r="U80" s="3">
        <f t="shared" si="6"/>
        <v>407.03545489959117</v>
      </c>
      <c r="X80" s="2">
        <v>20271</v>
      </c>
      <c r="Y80" s="3">
        <v>364</v>
      </c>
      <c r="Z80" s="3">
        <f t="shared" si="7"/>
        <v>340.20117043828395</v>
      </c>
      <c r="AA80" s="3"/>
    </row>
    <row r="81" spans="1:27" x14ac:dyDescent="0.3">
      <c r="A81" s="2">
        <v>20302</v>
      </c>
      <c r="B81" s="3">
        <v>347</v>
      </c>
      <c r="D81" s="3">
        <v>1</v>
      </c>
      <c r="E81" s="3">
        <v>347</v>
      </c>
      <c r="F81" s="3">
        <v>312</v>
      </c>
      <c r="G81" s="3">
        <v>274</v>
      </c>
      <c r="H81" s="3">
        <v>237</v>
      </c>
      <c r="I81" s="3">
        <v>278</v>
      </c>
      <c r="J81" s="3">
        <v>284</v>
      </c>
      <c r="K81" s="3">
        <v>277</v>
      </c>
      <c r="L81" s="3">
        <v>317</v>
      </c>
      <c r="M81" s="3">
        <v>313</v>
      </c>
      <c r="N81" s="3">
        <v>318</v>
      </c>
      <c r="O81" s="3">
        <v>374</v>
      </c>
      <c r="P81" s="3">
        <v>413</v>
      </c>
      <c r="R81" s="3">
        <v>405</v>
      </c>
      <c r="T81" s="3">
        <f t="shared" si="5"/>
        <v>389.48105375115563</v>
      </c>
      <c r="U81" s="3">
        <f t="shared" si="6"/>
        <v>389.48222616012617</v>
      </c>
      <c r="X81" s="2">
        <v>20302</v>
      </c>
      <c r="Y81" s="3">
        <v>347</v>
      </c>
      <c r="Z81" s="3">
        <f t="shared" si="7"/>
        <v>338.55150056852131</v>
      </c>
      <c r="AA81" s="3"/>
    </row>
    <row r="82" spans="1:27" x14ac:dyDescent="0.3">
      <c r="A82" s="2">
        <v>20333</v>
      </c>
      <c r="B82" s="3">
        <v>312</v>
      </c>
      <c r="D82" s="3">
        <v>1</v>
      </c>
      <c r="E82" s="3">
        <v>312</v>
      </c>
      <c r="F82" s="3">
        <v>274</v>
      </c>
      <c r="G82" s="3">
        <v>237</v>
      </c>
      <c r="H82" s="3">
        <v>278</v>
      </c>
      <c r="I82" s="3">
        <v>284</v>
      </c>
      <c r="J82" s="3">
        <v>277</v>
      </c>
      <c r="K82" s="3">
        <v>317</v>
      </c>
      <c r="L82" s="3">
        <v>313</v>
      </c>
      <c r="M82" s="3">
        <v>318</v>
      </c>
      <c r="N82" s="3">
        <v>374</v>
      </c>
      <c r="O82" s="3">
        <v>413</v>
      </c>
      <c r="P82" s="3">
        <v>405</v>
      </c>
      <c r="R82" s="3">
        <v>355</v>
      </c>
      <c r="T82" s="3">
        <f t="shared" si="5"/>
        <v>360.6976192496096</v>
      </c>
      <c r="U82" s="3">
        <f t="shared" si="6"/>
        <v>360.69810708746968</v>
      </c>
      <c r="X82" s="2">
        <v>20333</v>
      </c>
      <c r="Y82" s="3">
        <v>312</v>
      </c>
      <c r="Z82" s="3">
        <f t="shared" si="7"/>
        <v>298.3183783165523</v>
      </c>
      <c r="AA82" s="3"/>
    </row>
    <row r="83" spans="1:27" x14ac:dyDescent="0.3">
      <c r="A83" s="2">
        <v>20363</v>
      </c>
      <c r="B83" s="3">
        <v>274</v>
      </c>
      <c r="D83" s="3">
        <v>1</v>
      </c>
      <c r="E83" s="3">
        <v>274</v>
      </c>
      <c r="F83" s="3">
        <v>237</v>
      </c>
      <c r="G83" s="3">
        <v>278</v>
      </c>
      <c r="H83" s="3">
        <v>284</v>
      </c>
      <c r="I83" s="3">
        <v>277</v>
      </c>
      <c r="J83" s="3">
        <v>317</v>
      </c>
      <c r="K83" s="3">
        <v>313</v>
      </c>
      <c r="L83" s="3">
        <v>318</v>
      </c>
      <c r="M83" s="3">
        <v>374</v>
      </c>
      <c r="N83" s="3">
        <v>413</v>
      </c>
      <c r="O83" s="3">
        <v>405</v>
      </c>
      <c r="P83" s="3">
        <v>355</v>
      </c>
      <c r="R83" s="3">
        <v>306</v>
      </c>
      <c r="T83" s="3">
        <f t="shared" si="5"/>
        <v>303.47445461226835</v>
      </c>
      <c r="U83" s="3">
        <f t="shared" si="6"/>
        <v>303.47417874090826</v>
      </c>
      <c r="X83" s="2">
        <v>20363</v>
      </c>
      <c r="Y83" s="3">
        <v>274</v>
      </c>
      <c r="Z83" s="3">
        <f t="shared" si="7"/>
        <v>265.99286561155702</v>
      </c>
      <c r="AA83" s="3"/>
    </row>
    <row r="84" spans="1:27" x14ac:dyDescent="0.3">
      <c r="A84" s="2">
        <v>20394</v>
      </c>
      <c r="B84" s="3">
        <v>237</v>
      </c>
      <c r="D84" s="3">
        <v>1</v>
      </c>
      <c r="E84" s="3">
        <v>237</v>
      </c>
      <c r="F84" s="3">
        <v>278</v>
      </c>
      <c r="G84" s="3">
        <v>284</v>
      </c>
      <c r="H84" s="3">
        <v>277</v>
      </c>
      <c r="I84" s="3">
        <v>317</v>
      </c>
      <c r="J84" s="3">
        <v>313</v>
      </c>
      <c r="K84" s="3">
        <v>318</v>
      </c>
      <c r="L84" s="3">
        <v>374</v>
      </c>
      <c r="M84" s="3">
        <v>413</v>
      </c>
      <c r="N84" s="3">
        <v>405</v>
      </c>
      <c r="O84" s="3">
        <v>355</v>
      </c>
      <c r="P84" s="3">
        <v>306</v>
      </c>
      <c r="R84" s="3">
        <v>271</v>
      </c>
      <c r="T84" s="3">
        <f t="shared" si="5"/>
        <v>272.87760350007818</v>
      </c>
      <c r="U84" s="3">
        <f t="shared" si="6"/>
        <v>272.87641744511734</v>
      </c>
      <c r="X84" s="2">
        <v>20394</v>
      </c>
      <c r="Y84" s="3">
        <v>237</v>
      </c>
      <c r="Z84" s="3">
        <f t="shared" si="7"/>
        <v>232.85147042130848</v>
      </c>
      <c r="AA84" s="3"/>
    </row>
    <row r="85" spans="1:27" x14ac:dyDescent="0.3">
      <c r="A85" s="2">
        <v>20424</v>
      </c>
      <c r="B85" s="3">
        <v>278</v>
      </c>
      <c r="D85" s="3">
        <v>1</v>
      </c>
      <c r="E85" s="3">
        <v>278</v>
      </c>
      <c r="F85" s="3">
        <v>284</v>
      </c>
      <c r="G85" s="3">
        <v>277</v>
      </c>
      <c r="H85" s="3">
        <v>317</v>
      </c>
      <c r="I85" s="3">
        <v>313</v>
      </c>
      <c r="J85" s="3">
        <v>318</v>
      </c>
      <c r="K85" s="3">
        <v>374</v>
      </c>
      <c r="L85" s="3">
        <v>413</v>
      </c>
      <c r="M85" s="3">
        <v>405</v>
      </c>
      <c r="N85" s="3">
        <v>355</v>
      </c>
      <c r="O85" s="3">
        <v>306</v>
      </c>
      <c r="P85" s="3">
        <v>271</v>
      </c>
      <c r="R85" s="3">
        <v>306</v>
      </c>
      <c r="T85" s="3">
        <f t="shared" si="5"/>
        <v>302.6004747253063</v>
      </c>
      <c r="U85" s="3">
        <f t="shared" si="6"/>
        <v>302.60062204910821</v>
      </c>
      <c r="X85" s="2">
        <v>20424</v>
      </c>
      <c r="Y85" s="3">
        <v>278</v>
      </c>
      <c r="Z85" s="3">
        <f t="shared" si="7"/>
        <v>257.60888021601505</v>
      </c>
      <c r="AA85" s="3"/>
    </row>
    <row r="86" spans="1:27" x14ac:dyDescent="0.3">
      <c r="A86" s="2">
        <v>20455</v>
      </c>
      <c r="B86" s="3">
        <v>284</v>
      </c>
      <c r="D86" s="3">
        <v>1</v>
      </c>
      <c r="E86" s="3">
        <v>284</v>
      </c>
      <c r="F86" s="3">
        <v>277</v>
      </c>
      <c r="G86" s="3">
        <v>317</v>
      </c>
      <c r="H86" s="3">
        <v>313</v>
      </c>
      <c r="I86" s="3">
        <v>318</v>
      </c>
      <c r="J86" s="3">
        <v>374</v>
      </c>
      <c r="K86" s="3">
        <v>413</v>
      </c>
      <c r="L86" s="3">
        <v>405</v>
      </c>
      <c r="M86" s="3">
        <v>355</v>
      </c>
      <c r="N86" s="3">
        <v>306</v>
      </c>
      <c r="O86" s="3">
        <v>271</v>
      </c>
      <c r="P86" s="3">
        <v>306</v>
      </c>
      <c r="R86" s="3">
        <v>315</v>
      </c>
      <c r="T86" s="3">
        <f t="shared" si="5"/>
        <v>318.17251684786578</v>
      </c>
      <c r="U86" s="3">
        <f t="shared" si="6"/>
        <v>318.17349037687745</v>
      </c>
      <c r="X86" s="2">
        <v>20455</v>
      </c>
      <c r="Y86" s="3">
        <v>284</v>
      </c>
      <c r="Z86" s="3">
        <f t="shared" si="7"/>
        <v>277.16125959977114</v>
      </c>
      <c r="AA86" s="3"/>
    </row>
    <row r="87" spans="1:27" x14ac:dyDescent="0.3">
      <c r="A87" s="2">
        <v>20486</v>
      </c>
      <c r="B87" s="3">
        <v>277</v>
      </c>
      <c r="D87" s="3">
        <v>1</v>
      </c>
      <c r="E87" s="3">
        <v>277</v>
      </c>
      <c r="F87" s="3">
        <v>317</v>
      </c>
      <c r="G87" s="3">
        <v>313</v>
      </c>
      <c r="H87" s="3">
        <v>318</v>
      </c>
      <c r="I87" s="3">
        <v>374</v>
      </c>
      <c r="J87" s="3">
        <v>413</v>
      </c>
      <c r="K87" s="3">
        <v>405</v>
      </c>
      <c r="L87" s="3">
        <v>355</v>
      </c>
      <c r="M87" s="3">
        <v>306</v>
      </c>
      <c r="N87" s="3">
        <v>271</v>
      </c>
      <c r="O87" s="3">
        <v>306</v>
      </c>
      <c r="P87" s="3">
        <v>315</v>
      </c>
      <c r="R87" s="3">
        <v>301</v>
      </c>
      <c r="T87" s="3">
        <f t="shared" si="5"/>
        <v>309.08848890561688</v>
      </c>
      <c r="U87" s="3">
        <f t="shared" si="6"/>
        <v>309.08770411511034</v>
      </c>
      <c r="X87" s="2">
        <v>20486</v>
      </c>
      <c r="Y87" s="3">
        <v>277</v>
      </c>
      <c r="Z87" s="3">
        <f t="shared" si="7"/>
        <v>266.62515063691552</v>
      </c>
      <c r="AA87" s="3"/>
    </row>
    <row r="88" spans="1:27" x14ac:dyDescent="0.3">
      <c r="A88" s="2">
        <v>20515</v>
      </c>
      <c r="B88" s="3">
        <v>317</v>
      </c>
      <c r="D88" s="3">
        <v>1</v>
      </c>
      <c r="E88" s="3">
        <v>317</v>
      </c>
      <c r="F88" s="3">
        <v>313</v>
      </c>
      <c r="G88" s="3">
        <v>318</v>
      </c>
      <c r="H88" s="3">
        <v>374</v>
      </c>
      <c r="I88" s="3">
        <v>413</v>
      </c>
      <c r="J88" s="3">
        <v>405</v>
      </c>
      <c r="K88" s="3">
        <v>355</v>
      </c>
      <c r="L88" s="3">
        <v>306</v>
      </c>
      <c r="M88" s="3">
        <v>271</v>
      </c>
      <c r="N88" s="3">
        <v>306</v>
      </c>
      <c r="O88" s="3">
        <v>315</v>
      </c>
      <c r="P88" s="3">
        <v>301</v>
      </c>
      <c r="R88" s="3">
        <v>356</v>
      </c>
      <c r="T88" s="3">
        <f t="shared" si="5"/>
        <v>338.94536094095992</v>
      </c>
      <c r="U88" s="3">
        <f t="shared" si="6"/>
        <v>338.94503377374315</v>
      </c>
      <c r="X88" s="2">
        <v>20515</v>
      </c>
      <c r="Y88" s="3">
        <v>317</v>
      </c>
      <c r="Z88" s="3">
        <f t="shared" si="7"/>
        <v>293.46590041344871</v>
      </c>
      <c r="AA88" s="3"/>
    </row>
    <row r="89" spans="1:27" x14ac:dyDescent="0.3">
      <c r="A89" s="2">
        <v>20546</v>
      </c>
      <c r="B89" s="3">
        <v>313</v>
      </c>
      <c r="D89" s="3">
        <v>1</v>
      </c>
      <c r="E89" s="3">
        <v>313</v>
      </c>
      <c r="F89" s="3">
        <v>318</v>
      </c>
      <c r="G89" s="3">
        <v>374</v>
      </c>
      <c r="H89" s="3">
        <v>413</v>
      </c>
      <c r="I89" s="3">
        <v>405</v>
      </c>
      <c r="J89" s="3">
        <v>355</v>
      </c>
      <c r="K89" s="3">
        <v>306</v>
      </c>
      <c r="L89" s="3">
        <v>271</v>
      </c>
      <c r="M89" s="3">
        <v>306</v>
      </c>
      <c r="N89" s="3">
        <v>315</v>
      </c>
      <c r="O89" s="3">
        <v>301</v>
      </c>
      <c r="P89" s="3">
        <v>356</v>
      </c>
      <c r="R89" s="3">
        <v>348</v>
      </c>
      <c r="T89" s="3">
        <f t="shared" si="5"/>
        <v>351.97690284834937</v>
      </c>
      <c r="U89" s="3">
        <f t="shared" si="6"/>
        <v>351.97834530264493</v>
      </c>
      <c r="X89" s="2">
        <v>20546</v>
      </c>
      <c r="Y89" s="3">
        <v>313</v>
      </c>
      <c r="Z89" s="3">
        <f t="shared" si="7"/>
        <v>306.50165244708285</v>
      </c>
      <c r="AA89" s="3"/>
    </row>
    <row r="90" spans="1:27" x14ac:dyDescent="0.3">
      <c r="A90" s="2">
        <v>20576</v>
      </c>
      <c r="B90" s="3">
        <v>318</v>
      </c>
      <c r="D90" s="3">
        <v>1</v>
      </c>
      <c r="E90" s="3">
        <v>318</v>
      </c>
      <c r="F90" s="3">
        <v>374</v>
      </c>
      <c r="G90" s="3">
        <v>413</v>
      </c>
      <c r="H90" s="3">
        <v>405</v>
      </c>
      <c r="I90" s="3">
        <v>355</v>
      </c>
      <c r="J90" s="3">
        <v>306</v>
      </c>
      <c r="K90" s="3">
        <v>271</v>
      </c>
      <c r="L90" s="3">
        <v>306</v>
      </c>
      <c r="M90" s="3">
        <v>315</v>
      </c>
      <c r="N90" s="3">
        <v>301</v>
      </c>
      <c r="O90" s="3">
        <v>356</v>
      </c>
      <c r="P90" s="3">
        <v>348</v>
      </c>
      <c r="R90" s="3">
        <v>355</v>
      </c>
      <c r="T90" s="3">
        <f t="shared" si="5"/>
        <v>357.38582720235115</v>
      </c>
      <c r="U90" s="3">
        <f t="shared" si="6"/>
        <v>357.38544780295445</v>
      </c>
      <c r="X90" s="2">
        <v>20576</v>
      </c>
      <c r="Y90" s="3">
        <v>318</v>
      </c>
      <c r="Z90" s="3">
        <f t="shared" si="7"/>
        <v>308.50981187174477</v>
      </c>
      <c r="AA90" s="3"/>
    </row>
    <row r="91" spans="1:27" x14ac:dyDescent="0.3">
      <c r="A91" s="2">
        <v>20607</v>
      </c>
      <c r="B91" s="3">
        <v>374</v>
      </c>
      <c r="D91" s="3">
        <v>1</v>
      </c>
      <c r="E91" s="3">
        <v>374</v>
      </c>
      <c r="F91" s="3">
        <v>413</v>
      </c>
      <c r="G91" s="3">
        <v>405</v>
      </c>
      <c r="H91" s="3">
        <v>355</v>
      </c>
      <c r="I91" s="3">
        <v>306</v>
      </c>
      <c r="J91" s="3">
        <v>271</v>
      </c>
      <c r="K91" s="3">
        <v>306</v>
      </c>
      <c r="L91" s="3">
        <v>315</v>
      </c>
      <c r="M91" s="3">
        <v>301</v>
      </c>
      <c r="N91" s="3">
        <v>356</v>
      </c>
      <c r="O91" s="3">
        <v>348</v>
      </c>
      <c r="P91" s="3">
        <v>355</v>
      </c>
      <c r="R91" s="3">
        <v>422</v>
      </c>
      <c r="T91" s="3">
        <f t="shared" si="5"/>
        <v>413.19814130590271</v>
      </c>
      <c r="U91" s="3">
        <f t="shared" si="6"/>
        <v>413.19762806273923</v>
      </c>
      <c r="X91" s="2">
        <v>20607</v>
      </c>
      <c r="Y91" s="3">
        <v>374</v>
      </c>
      <c r="Z91" s="3">
        <f t="shared" si="7"/>
        <v>355.62596220894147</v>
      </c>
      <c r="AA91" s="3"/>
    </row>
    <row r="92" spans="1:27" x14ac:dyDescent="0.3">
      <c r="A92" s="2">
        <v>20637</v>
      </c>
      <c r="B92" s="3">
        <v>413</v>
      </c>
      <c r="D92" s="3">
        <v>1</v>
      </c>
      <c r="E92" s="3">
        <v>413</v>
      </c>
      <c r="F92" s="3">
        <v>405</v>
      </c>
      <c r="G92" s="3">
        <v>355</v>
      </c>
      <c r="H92" s="3">
        <v>306</v>
      </c>
      <c r="I92" s="3">
        <v>271</v>
      </c>
      <c r="J92" s="3">
        <v>306</v>
      </c>
      <c r="K92" s="3">
        <v>315</v>
      </c>
      <c r="L92" s="3">
        <v>301</v>
      </c>
      <c r="M92" s="3">
        <v>356</v>
      </c>
      <c r="N92" s="3">
        <v>348</v>
      </c>
      <c r="O92" s="3">
        <v>355</v>
      </c>
      <c r="P92" s="3">
        <v>422</v>
      </c>
      <c r="R92" s="3">
        <v>465</v>
      </c>
      <c r="T92" s="3">
        <f t="shared" si="5"/>
        <v>458.54970672977288</v>
      </c>
      <c r="U92" s="3">
        <f t="shared" si="6"/>
        <v>458.55056746574417</v>
      </c>
      <c r="X92" s="2">
        <v>20637</v>
      </c>
      <c r="Y92" s="3">
        <v>413</v>
      </c>
      <c r="Z92" s="3">
        <f t="shared" si="7"/>
        <v>407.03545489959117</v>
      </c>
      <c r="AA92" s="3"/>
    </row>
    <row r="93" spans="1:27" x14ac:dyDescent="0.3">
      <c r="A93" s="2">
        <v>20668</v>
      </c>
      <c r="B93" s="3">
        <v>405</v>
      </c>
      <c r="D93" s="3">
        <v>1</v>
      </c>
      <c r="E93" s="3">
        <v>405</v>
      </c>
      <c r="F93" s="3">
        <v>355</v>
      </c>
      <c r="G93" s="3">
        <v>306</v>
      </c>
      <c r="H93" s="3">
        <v>271</v>
      </c>
      <c r="I93" s="3">
        <v>306</v>
      </c>
      <c r="J93" s="3">
        <v>315</v>
      </c>
      <c r="K93" s="3">
        <v>301</v>
      </c>
      <c r="L93" s="3">
        <v>356</v>
      </c>
      <c r="M93" s="3">
        <v>348</v>
      </c>
      <c r="N93" s="3">
        <v>355</v>
      </c>
      <c r="O93" s="3">
        <v>422</v>
      </c>
      <c r="P93" s="3">
        <v>465</v>
      </c>
      <c r="R93" s="3">
        <v>467</v>
      </c>
      <c r="T93" s="3">
        <f t="shared" si="5"/>
        <v>452.16012141141687</v>
      </c>
      <c r="U93" s="3">
        <f t="shared" si="6"/>
        <v>452.16165426746238</v>
      </c>
      <c r="X93" s="2">
        <v>20668</v>
      </c>
      <c r="Y93" s="3">
        <v>405</v>
      </c>
      <c r="Z93" s="3">
        <f t="shared" si="7"/>
        <v>389.48222616012617</v>
      </c>
      <c r="AA93" s="3"/>
    </row>
    <row r="94" spans="1:27" x14ac:dyDescent="0.3">
      <c r="A94" s="2">
        <v>20699</v>
      </c>
      <c r="B94" s="3">
        <v>355</v>
      </c>
      <c r="D94" s="3">
        <v>1</v>
      </c>
      <c r="E94" s="3">
        <v>355</v>
      </c>
      <c r="F94" s="3">
        <v>306</v>
      </c>
      <c r="G94" s="3">
        <v>271</v>
      </c>
      <c r="H94" s="3">
        <v>306</v>
      </c>
      <c r="I94" s="3">
        <v>315</v>
      </c>
      <c r="J94" s="3">
        <v>301</v>
      </c>
      <c r="K94" s="3">
        <v>356</v>
      </c>
      <c r="L94" s="3">
        <v>348</v>
      </c>
      <c r="M94" s="3">
        <v>355</v>
      </c>
      <c r="N94" s="3">
        <v>422</v>
      </c>
      <c r="O94" s="3">
        <v>465</v>
      </c>
      <c r="P94" s="3">
        <v>467</v>
      </c>
      <c r="R94" s="3">
        <v>404</v>
      </c>
      <c r="T94" s="3">
        <f t="shared" si="5"/>
        <v>407.59620188117839</v>
      </c>
      <c r="U94" s="3">
        <f t="shared" si="6"/>
        <v>407.59721054004575</v>
      </c>
      <c r="X94" s="2">
        <v>20699</v>
      </c>
      <c r="Y94" s="3">
        <v>355</v>
      </c>
      <c r="Z94" s="3">
        <f t="shared" si="7"/>
        <v>360.69810708746968</v>
      </c>
      <c r="AA94" s="3"/>
    </row>
    <row r="95" spans="1:27" x14ac:dyDescent="0.3">
      <c r="A95" s="2">
        <v>20729</v>
      </c>
      <c r="B95" s="3">
        <v>306</v>
      </c>
      <c r="D95" s="3">
        <v>1</v>
      </c>
      <c r="E95" s="3">
        <v>306</v>
      </c>
      <c r="F95" s="3">
        <v>271</v>
      </c>
      <c r="G95" s="3">
        <v>306</v>
      </c>
      <c r="H95" s="3">
        <v>315</v>
      </c>
      <c r="I95" s="3">
        <v>301</v>
      </c>
      <c r="J95" s="3">
        <v>356</v>
      </c>
      <c r="K95" s="3">
        <v>348</v>
      </c>
      <c r="L95" s="3">
        <v>355</v>
      </c>
      <c r="M95" s="3">
        <v>422</v>
      </c>
      <c r="N95" s="3">
        <v>465</v>
      </c>
      <c r="O95" s="3">
        <v>467</v>
      </c>
      <c r="P95" s="3">
        <v>404</v>
      </c>
      <c r="R95" s="3">
        <v>347</v>
      </c>
      <c r="T95" s="3">
        <f t="shared" si="5"/>
        <v>342.37768813367722</v>
      </c>
      <c r="U95" s="3">
        <f t="shared" si="6"/>
        <v>342.37705143780425</v>
      </c>
      <c r="X95" s="2">
        <v>20729</v>
      </c>
      <c r="Y95" s="3">
        <v>306</v>
      </c>
      <c r="Z95" s="3">
        <f t="shared" si="7"/>
        <v>303.47417874090826</v>
      </c>
      <c r="AA95" s="3"/>
    </row>
    <row r="96" spans="1:27" x14ac:dyDescent="0.3">
      <c r="A96" s="2">
        <v>20760</v>
      </c>
      <c r="B96" s="3">
        <v>271</v>
      </c>
      <c r="D96" s="3">
        <v>1</v>
      </c>
      <c r="E96" s="3">
        <v>271</v>
      </c>
      <c r="F96" s="3">
        <v>306</v>
      </c>
      <c r="G96" s="3">
        <v>315</v>
      </c>
      <c r="H96" s="3">
        <v>301</v>
      </c>
      <c r="I96" s="3">
        <v>356</v>
      </c>
      <c r="J96" s="3">
        <v>348</v>
      </c>
      <c r="K96" s="3">
        <v>355</v>
      </c>
      <c r="L96" s="3">
        <v>422</v>
      </c>
      <c r="M96" s="3">
        <v>465</v>
      </c>
      <c r="N96" s="3">
        <v>467</v>
      </c>
      <c r="O96" s="3">
        <v>404</v>
      </c>
      <c r="P96" s="3">
        <v>347</v>
      </c>
      <c r="R96" s="3">
        <v>305</v>
      </c>
      <c r="T96" s="3">
        <f t="shared" si="5"/>
        <v>306.8731622044553</v>
      </c>
      <c r="U96" s="3">
        <f t="shared" si="6"/>
        <v>306.87207547111547</v>
      </c>
      <c r="X96" s="2">
        <v>20760</v>
      </c>
      <c r="Y96" s="3">
        <v>271</v>
      </c>
      <c r="Z96" s="3">
        <f t="shared" si="7"/>
        <v>272.87641744511734</v>
      </c>
      <c r="AA96" s="3"/>
    </row>
    <row r="97" spans="1:27" x14ac:dyDescent="0.3">
      <c r="A97" s="2">
        <v>20790</v>
      </c>
      <c r="B97" s="3">
        <v>306</v>
      </c>
      <c r="D97" s="3">
        <v>1</v>
      </c>
      <c r="E97" s="3">
        <v>306</v>
      </c>
      <c r="F97" s="3">
        <v>315</v>
      </c>
      <c r="G97" s="3">
        <v>301</v>
      </c>
      <c r="H97" s="3">
        <v>356</v>
      </c>
      <c r="I97" s="3">
        <v>348</v>
      </c>
      <c r="J97" s="3">
        <v>355</v>
      </c>
      <c r="K97" s="3">
        <v>422</v>
      </c>
      <c r="L97" s="3">
        <v>465</v>
      </c>
      <c r="M97" s="3">
        <v>467</v>
      </c>
      <c r="N97" s="3">
        <v>404</v>
      </c>
      <c r="O97" s="3">
        <v>347</v>
      </c>
      <c r="P97" s="3">
        <v>305</v>
      </c>
      <c r="R97" s="3">
        <v>336</v>
      </c>
      <c r="T97" s="3">
        <f t="shared" si="5"/>
        <v>334.40577500552342</v>
      </c>
      <c r="U97" s="3">
        <f t="shared" si="6"/>
        <v>334.40596533600262</v>
      </c>
      <c r="X97" s="2">
        <v>20790</v>
      </c>
      <c r="Y97" s="3">
        <v>306</v>
      </c>
      <c r="Z97" s="3">
        <f t="shared" si="7"/>
        <v>302.60062204910821</v>
      </c>
      <c r="AA97" s="3"/>
    </row>
    <row r="98" spans="1:27" x14ac:dyDescent="0.3">
      <c r="A98" s="2">
        <v>20821</v>
      </c>
      <c r="B98" s="3">
        <v>315</v>
      </c>
      <c r="D98" s="3">
        <v>1</v>
      </c>
      <c r="E98" s="3">
        <v>315</v>
      </c>
      <c r="F98" s="3">
        <v>301</v>
      </c>
      <c r="G98" s="3">
        <v>356</v>
      </c>
      <c r="H98" s="3">
        <v>348</v>
      </c>
      <c r="I98" s="3">
        <v>355</v>
      </c>
      <c r="J98" s="3">
        <v>422</v>
      </c>
      <c r="K98" s="3">
        <v>465</v>
      </c>
      <c r="L98" s="3">
        <v>467</v>
      </c>
      <c r="M98" s="3">
        <v>404</v>
      </c>
      <c r="N98" s="3">
        <v>347</v>
      </c>
      <c r="O98" s="3">
        <v>305</v>
      </c>
      <c r="P98" s="3">
        <v>336</v>
      </c>
      <c r="R98" s="3">
        <v>340</v>
      </c>
      <c r="T98" s="3">
        <f t="shared" ref="T98:T133" si="8">SUMPRODUCT(D98:P98,$D$173:$P$173)</f>
        <v>349.0244148320113</v>
      </c>
      <c r="U98" s="3">
        <f t="shared" ref="U98:U133" si="9">SUMPRODUCT(D98:P98,$D$174:$P$174)</f>
        <v>349.02561595513572</v>
      </c>
      <c r="X98" s="2">
        <v>20821</v>
      </c>
      <c r="Y98" s="3">
        <v>315</v>
      </c>
      <c r="Z98" s="3">
        <f t="shared" si="7"/>
        <v>318.17349037687745</v>
      </c>
      <c r="AA98" s="3"/>
    </row>
    <row r="99" spans="1:27" x14ac:dyDescent="0.3">
      <c r="A99" s="2">
        <v>20852</v>
      </c>
      <c r="B99" s="3">
        <v>301</v>
      </c>
      <c r="D99" s="3">
        <v>1</v>
      </c>
      <c r="E99" s="3">
        <v>301</v>
      </c>
      <c r="F99" s="3">
        <v>356</v>
      </c>
      <c r="G99" s="3">
        <v>348</v>
      </c>
      <c r="H99" s="3">
        <v>355</v>
      </c>
      <c r="I99" s="3">
        <v>422</v>
      </c>
      <c r="J99" s="3">
        <v>465</v>
      </c>
      <c r="K99" s="3">
        <v>467</v>
      </c>
      <c r="L99" s="3">
        <v>404</v>
      </c>
      <c r="M99" s="3">
        <v>347</v>
      </c>
      <c r="N99" s="3">
        <v>305</v>
      </c>
      <c r="O99" s="3">
        <v>336</v>
      </c>
      <c r="P99" s="3">
        <v>340</v>
      </c>
      <c r="R99" s="3">
        <v>318</v>
      </c>
      <c r="T99" s="3">
        <f t="shared" si="8"/>
        <v>333.9612668094984</v>
      </c>
      <c r="U99" s="3">
        <f t="shared" si="9"/>
        <v>333.96019958255505</v>
      </c>
      <c r="X99" s="2">
        <v>20852</v>
      </c>
      <c r="Y99" s="3">
        <v>301</v>
      </c>
      <c r="Z99" s="3">
        <f t="shared" si="7"/>
        <v>309.08770411511034</v>
      </c>
      <c r="AA99" s="3"/>
    </row>
    <row r="100" spans="1:27" x14ac:dyDescent="0.3">
      <c r="A100" s="2">
        <v>20880</v>
      </c>
      <c r="B100" s="3">
        <v>356</v>
      </c>
      <c r="D100" s="3">
        <v>1</v>
      </c>
      <c r="E100" s="3">
        <v>356</v>
      </c>
      <c r="F100" s="3">
        <v>348</v>
      </c>
      <c r="G100" s="3">
        <v>355</v>
      </c>
      <c r="H100" s="3">
        <v>422</v>
      </c>
      <c r="I100" s="3">
        <v>465</v>
      </c>
      <c r="J100" s="3">
        <v>467</v>
      </c>
      <c r="K100" s="3">
        <v>404</v>
      </c>
      <c r="L100" s="3">
        <v>347</v>
      </c>
      <c r="M100" s="3">
        <v>305</v>
      </c>
      <c r="N100" s="3">
        <v>336</v>
      </c>
      <c r="O100" s="3">
        <v>340</v>
      </c>
      <c r="P100" s="3">
        <v>318</v>
      </c>
      <c r="R100" s="3">
        <v>362</v>
      </c>
      <c r="T100" s="3">
        <f t="shared" si="8"/>
        <v>374.26682858347431</v>
      </c>
      <c r="U100" s="3">
        <f t="shared" si="9"/>
        <v>374.26644429907367</v>
      </c>
      <c r="X100" s="2">
        <v>20880</v>
      </c>
      <c r="Y100" s="3">
        <v>356</v>
      </c>
      <c r="Z100" s="3">
        <f t="shared" si="7"/>
        <v>338.94503377374315</v>
      </c>
      <c r="AA100" s="3"/>
    </row>
    <row r="101" spans="1:27" x14ac:dyDescent="0.3">
      <c r="A101" s="2">
        <v>20911</v>
      </c>
      <c r="B101" s="3">
        <v>348</v>
      </c>
      <c r="D101" s="3">
        <v>1</v>
      </c>
      <c r="E101" s="3">
        <v>348</v>
      </c>
      <c r="F101" s="3">
        <v>355</v>
      </c>
      <c r="G101" s="3">
        <v>422</v>
      </c>
      <c r="H101" s="3">
        <v>465</v>
      </c>
      <c r="I101" s="3">
        <v>467</v>
      </c>
      <c r="J101" s="3">
        <v>404</v>
      </c>
      <c r="K101" s="3">
        <v>347</v>
      </c>
      <c r="L101" s="3">
        <v>305</v>
      </c>
      <c r="M101" s="3">
        <v>336</v>
      </c>
      <c r="N101" s="3">
        <v>340</v>
      </c>
      <c r="O101" s="3">
        <v>318</v>
      </c>
      <c r="P101" s="3">
        <v>362</v>
      </c>
      <c r="R101" s="3">
        <v>348</v>
      </c>
      <c r="T101" s="3">
        <f t="shared" si="8"/>
        <v>375.93750535797506</v>
      </c>
      <c r="U101" s="3">
        <f t="shared" si="9"/>
        <v>375.93901967986494</v>
      </c>
      <c r="X101" s="2">
        <v>20911</v>
      </c>
      <c r="Y101" s="3">
        <v>348</v>
      </c>
      <c r="Z101" s="3">
        <f t="shared" si="7"/>
        <v>351.97834530264493</v>
      </c>
      <c r="AA101" s="3"/>
    </row>
    <row r="102" spans="1:27" x14ac:dyDescent="0.3">
      <c r="A102" s="2">
        <v>20941</v>
      </c>
      <c r="B102" s="3">
        <v>355</v>
      </c>
      <c r="D102" s="3">
        <v>1</v>
      </c>
      <c r="E102" s="3">
        <v>355</v>
      </c>
      <c r="F102" s="3">
        <v>422</v>
      </c>
      <c r="G102" s="3">
        <v>465</v>
      </c>
      <c r="H102" s="3">
        <v>467</v>
      </c>
      <c r="I102" s="3">
        <v>404</v>
      </c>
      <c r="J102" s="3">
        <v>347</v>
      </c>
      <c r="K102" s="3">
        <v>305</v>
      </c>
      <c r="L102" s="3">
        <v>336</v>
      </c>
      <c r="M102" s="3">
        <v>340</v>
      </c>
      <c r="N102" s="3">
        <v>318</v>
      </c>
      <c r="O102" s="3">
        <v>362</v>
      </c>
      <c r="P102" s="3">
        <v>348</v>
      </c>
      <c r="R102" s="3">
        <v>363</v>
      </c>
      <c r="T102" s="3">
        <f t="shared" si="8"/>
        <v>390.21346378865405</v>
      </c>
      <c r="U102" s="3">
        <f t="shared" si="9"/>
        <v>390.21298120370682</v>
      </c>
      <c r="X102" s="2">
        <v>20941</v>
      </c>
      <c r="Y102" s="3">
        <v>355</v>
      </c>
      <c r="Z102" s="3">
        <f t="shared" si="7"/>
        <v>357.38544780295445</v>
      </c>
      <c r="AA102" s="3"/>
    </row>
    <row r="103" spans="1:27" x14ac:dyDescent="0.3">
      <c r="A103" s="2">
        <v>20972</v>
      </c>
      <c r="B103" s="3">
        <v>422</v>
      </c>
      <c r="D103" s="3">
        <v>1</v>
      </c>
      <c r="E103" s="3">
        <v>422</v>
      </c>
      <c r="F103" s="3">
        <v>465</v>
      </c>
      <c r="G103" s="3">
        <v>467</v>
      </c>
      <c r="H103" s="3">
        <v>404</v>
      </c>
      <c r="I103" s="3">
        <v>347</v>
      </c>
      <c r="J103" s="3">
        <v>305</v>
      </c>
      <c r="K103" s="3">
        <v>336</v>
      </c>
      <c r="L103" s="3">
        <v>340</v>
      </c>
      <c r="M103" s="3">
        <v>318</v>
      </c>
      <c r="N103" s="3">
        <v>362</v>
      </c>
      <c r="O103" s="3">
        <v>348</v>
      </c>
      <c r="P103" s="3">
        <v>363</v>
      </c>
      <c r="R103" s="3">
        <v>435</v>
      </c>
      <c r="T103" s="3">
        <f t="shared" si="8"/>
        <v>453.16236951168059</v>
      </c>
      <c r="U103" s="3">
        <f t="shared" si="9"/>
        <v>453.16213751586884</v>
      </c>
      <c r="X103" s="2">
        <v>20972</v>
      </c>
      <c r="Y103" s="3">
        <v>422</v>
      </c>
      <c r="Z103" s="3">
        <f t="shared" si="7"/>
        <v>413.19762806273923</v>
      </c>
      <c r="AA103" s="3"/>
    </row>
    <row r="104" spans="1:27" x14ac:dyDescent="0.3">
      <c r="A104" s="2">
        <v>21002</v>
      </c>
      <c r="B104" s="3">
        <v>465</v>
      </c>
      <c r="D104" s="3">
        <v>1</v>
      </c>
      <c r="E104" s="3">
        <v>465</v>
      </c>
      <c r="F104" s="3">
        <v>467</v>
      </c>
      <c r="G104" s="3">
        <v>404</v>
      </c>
      <c r="H104" s="3">
        <v>347</v>
      </c>
      <c r="I104" s="3">
        <v>305</v>
      </c>
      <c r="J104" s="3">
        <v>336</v>
      </c>
      <c r="K104" s="3">
        <v>340</v>
      </c>
      <c r="L104" s="3">
        <v>318</v>
      </c>
      <c r="M104" s="3">
        <v>362</v>
      </c>
      <c r="N104" s="3">
        <v>348</v>
      </c>
      <c r="O104" s="3">
        <v>363</v>
      </c>
      <c r="P104" s="3">
        <v>435</v>
      </c>
      <c r="R104" s="3">
        <v>491</v>
      </c>
      <c r="T104" s="3">
        <f t="shared" si="8"/>
        <v>506.7335019918832</v>
      </c>
      <c r="U104" s="3">
        <f t="shared" si="9"/>
        <v>506.73427643066998</v>
      </c>
      <c r="X104" s="2">
        <v>21002</v>
      </c>
      <c r="Y104" s="3">
        <v>465</v>
      </c>
      <c r="Z104" s="3">
        <f t="shared" si="7"/>
        <v>458.55056746574417</v>
      </c>
      <c r="AA104" s="3"/>
    </row>
    <row r="105" spans="1:27" x14ac:dyDescent="0.3">
      <c r="A105" s="2">
        <v>21033</v>
      </c>
      <c r="B105" s="3">
        <v>467</v>
      </c>
      <c r="D105" s="3">
        <v>1</v>
      </c>
      <c r="E105" s="3">
        <v>467</v>
      </c>
      <c r="F105" s="3">
        <v>404</v>
      </c>
      <c r="G105" s="3">
        <v>347</v>
      </c>
      <c r="H105" s="3">
        <v>305</v>
      </c>
      <c r="I105" s="3">
        <v>336</v>
      </c>
      <c r="J105" s="3">
        <v>340</v>
      </c>
      <c r="K105" s="3">
        <v>318</v>
      </c>
      <c r="L105" s="3">
        <v>362</v>
      </c>
      <c r="M105" s="3">
        <v>348</v>
      </c>
      <c r="N105" s="3">
        <v>363</v>
      </c>
      <c r="O105" s="3">
        <v>435</v>
      </c>
      <c r="P105" s="3">
        <v>491</v>
      </c>
      <c r="R105" s="3">
        <v>505</v>
      </c>
      <c r="T105" s="3">
        <f t="shared" si="8"/>
        <v>508.85908046019296</v>
      </c>
      <c r="U105" s="3">
        <f t="shared" si="9"/>
        <v>508.86104076508184</v>
      </c>
      <c r="X105" s="2">
        <v>21033</v>
      </c>
      <c r="Y105" s="3">
        <v>467</v>
      </c>
      <c r="Z105" s="3">
        <f t="shared" si="7"/>
        <v>452.16165426746238</v>
      </c>
      <c r="AA105" s="3"/>
    </row>
    <row r="106" spans="1:27" x14ac:dyDescent="0.3">
      <c r="A106" s="2">
        <v>21064</v>
      </c>
      <c r="B106" s="3">
        <v>404</v>
      </c>
      <c r="D106" s="3">
        <v>1</v>
      </c>
      <c r="E106" s="3">
        <v>404</v>
      </c>
      <c r="F106" s="3">
        <v>347</v>
      </c>
      <c r="G106" s="3">
        <v>305</v>
      </c>
      <c r="H106" s="3">
        <v>336</v>
      </c>
      <c r="I106" s="3">
        <v>340</v>
      </c>
      <c r="J106" s="3">
        <v>318</v>
      </c>
      <c r="K106" s="3">
        <v>362</v>
      </c>
      <c r="L106" s="3">
        <v>348</v>
      </c>
      <c r="M106" s="3">
        <v>363</v>
      </c>
      <c r="N106" s="3">
        <v>435</v>
      </c>
      <c r="O106" s="3">
        <v>491</v>
      </c>
      <c r="P106" s="3">
        <v>505</v>
      </c>
      <c r="R106" s="3">
        <v>404</v>
      </c>
      <c r="T106" s="3">
        <f t="shared" si="8"/>
        <v>456.17448023870736</v>
      </c>
      <c r="U106" s="3">
        <f t="shared" si="9"/>
        <v>456.17585403196904</v>
      </c>
      <c r="X106" s="2">
        <v>21064</v>
      </c>
      <c r="Y106" s="3">
        <v>404</v>
      </c>
      <c r="Z106" s="3">
        <f t="shared" si="7"/>
        <v>407.59721054004575</v>
      </c>
      <c r="AA106" s="3"/>
    </row>
    <row r="107" spans="1:27" x14ac:dyDescent="0.3">
      <c r="A107" s="2">
        <v>21094</v>
      </c>
      <c r="B107" s="3">
        <v>347</v>
      </c>
      <c r="D107" s="3">
        <v>1</v>
      </c>
      <c r="E107" s="3">
        <v>347</v>
      </c>
      <c r="F107" s="3">
        <v>305</v>
      </c>
      <c r="G107" s="3">
        <v>336</v>
      </c>
      <c r="H107" s="3">
        <v>340</v>
      </c>
      <c r="I107" s="3">
        <v>318</v>
      </c>
      <c r="J107" s="3">
        <v>362</v>
      </c>
      <c r="K107" s="3">
        <v>348</v>
      </c>
      <c r="L107" s="3">
        <v>363</v>
      </c>
      <c r="M107" s="3">
        <v>435</v>
      </c>
      <c r="N107" s="3">
        <v>491</v>
      </c>
      <c r="O107" s="3">
        <v>505</v>
      </c>
      <c r="P107" s="3">
        <v>404</v>
      </c>
      <c r="R107" s="3">
        <v>359</v>
      </c>
      <c r="T107" s="3">
        <f t="shared" si="8"/>
        <v>368.01418674382523</v>
      </c>
      <c r="U107" s="3">
        <f t="shared" si="9"/>
        <v>368.01316554767152</v>
      </c>
      <c r="X107" s="2">
        <v>21094</v>
      </c>
      <c r="Y107" s="3">
        <v>347</v>
      </c>
      <c r="Z107" s="3">
        <f t="shared" si="7"/>
        <v>342.37705143780425</v>
      </c>
      <c r="AA107" s="3"/>
    </row>
    <row r="108" spans="1:27" x14ac:dyDescent="0.3">
      <c r="A108" s="2">
        <v>21125</v>
      </c>
      <c r="B108" s="3">
        <v>305</v>
      </c>
      <c r="D108" s="3">
        <v>1</v>
      </c>
      <c r="E108" s="3">
        <v>305</v>
      </c>
      <c r="F108" s="3">
        <v>336</v>
      </c>
      <c r="G108" s="3">
        <v>340</v>
      </c>
      <c r="H108" s="3">
        <v>318</v>
      </c>
      <c r="I108" s="3">
        <v>362</v>
      </c>
      <c r="J108" s="3">
        <v>348</v>
      </c>
      <c r="K108" s="3">
        <v>363</v>
      </c>
      <c r="L108" s="3">
        <v>435</v>
      </c>
      <c r="M108" s="3">
        <v>491</v>
      </c>
      <c r="N108" s="3">
        <v>505</v>
      </c>
      <c r="O108" s="3">
        <v>404</v>
      </c>
      <c r="P108" s="3">
        <v>359</v>
      </c>
      <c r="R108" s="3">
        <v>310</v>
      </c>
      <c r="T108" s="3">
        <f t="shared" si="8"/>
        <v>342.6191033611741</v>
      </c>
      <c r="U108" s="3">
        <f t="shared" si="9"/>
        <v>342.61830018961837</v>
      </c>
      <c r="X108" s="2">
        <v>21125</v>
      </c>
      <c r="Y108" s="3">
        <v>305</v>
      </c>
      <c r="Z108" s="3">
        <f t="shared" si="7"/>
        <v>306.87207547111547</v>
      </c>
      <c r="AA108" s="3"/>
    </row>
    <row r="109" spans="1:27" x14ac:dyDescent="0.3">
      <c r="A109" s="2">
        <v>21155</v>
      </c>
      <c r="B109" s="3">
        <v>336</v>
      </c>
      <c r="D109" s="3">
        <v>1</v>
      </c>
      <c r="E109" s="3">
        <v>336</v>
      </c>
      <c r="F109" s="3">
        <v>340</v>
      </c>
      <c r="G109" s="3">
        <v>318</v>
      </c>
      <c r="H109" s="3">
        <v>362</v>
      </c>
      <c r="I109" s="3">
        <v>348</v>
      </c>
      <c r="J109" s="3">
        <v>363</v>
      </c>
      <c r="K109" s="3">
        <v>435</v>
      </c>
      <c r="L109" s="3">
        <v>491</v>
      </c>
      <c r="M109" s="3">
        <v>505</v>
      </c>
      <c r="N109" s="3">
        <v>404</v>
      </c>
      <c r="O109" s="3">
        <v>359</v>
      </c>
      <c r="P109" s="3">
        <v>310</v>
      </c>
      <c r="R109" s="3">
        <v>337</v>
      </c>
      <c r="T109" s="3">
        <f t="shared" si="8"/>
        <v>353.81548553663038</v>
      </c>
      <c r="U109" s="3">
        <f t="shared" si="9"/>
        <v>353.81593225026495</v>
      </c>
      <c r="X109" s="2">
        <v>21155</v>
      </c>
      <c r="Y109" s="3">
        <v>336</v>
      </c>
      <c r="Z109" s="3">
        <f t="shared" si="7"/>
        <v>334.40596533600262</v>
      </c>
      <c r="AA109" s="3"/>
    </row>
    <row r="110" spans="1:27" x14ac:dyDescent="0.3">
      <c r="A110" s="2">
        <v>21186</v>
      </c>
      <c r="B110" s="3">
        <v>340</v>
      </c>
      <c r="D110" s="3">
        <v>1</v>
      </c>
      <c r="E110" s="3">
        <v>340</v>
      </c>
      <c r="F110" s="3">
        <v>318</v>
      </c>
      <c r="G110" s="3">
        <v>362</v>
      </c>
      <c r="H110" s="3">
        <v>348</v>
      </c>
      <c r="I110" s="3">
        <v>363</v>
      </c>
      <c r="J110" s="3">
        <v>435</v>
      </c>
      <c r="K110" s="3">
        <v>491</v>
      </c>
      <c r="L110" s="3">
        <v>505</v>
      </c>
      <c r="M110" s="3">
        <v>404</v>
      </c>
      <c r="N110" s="3">
        <v>359</v>
      </c>
      <c r="O110" s="3">
        <v>310</v>
      </c>
      <c r="P110" s="3">
        <v>337</v>
      </c>
      <c r="R110" s="3">
        <v>360</v>
      </c>
      <c r="T110" s="3">
        <f t="shared" si="8"/>
        <v>373.54403706130279</v>
      </c>
      <c r="U110" s="3">
        <f t="shared" si="9"/>
        <v>373.5452189495125</v>
      </c>
      <c r="X110" s="2">
        <v>21186</v>
      </c>
      <c r="Y110" s="3">
        <v>340</v>
      </c>
      <c r="Z110" s="3">
        <f t="shared" si="7"/>
        <v>349.02561595513572</v>
      </c>
      <c r="AA110" s="3"/>
    </row>
    <row r="111" spans="1:27" x14ac:dyDescent="0.3">
      <c r="A111" s="2">
        <v>21217</v>
      </c>
      <c r="B111" s="3">
        <v>318</v>
      </c>
      <c r="D111" s="3">
        <v>1</v>
      </c>
      <c r="E111" s="3">
        <v>318</v>
      </c>
      <c r="F111" s="3">
        <v>362</v>
      </c>
      <c r="G111" s="3">
        <v>348</v>
      </c>
      <c r="H111" s="3">
        <v>363</v>
      </c>
      <c r="I111" s="3">
        <v>435</v>
      </c>
      <c r="J111" s="3">
        <v>491</v>
      </c>
      <c r="K111" s="3">
        <v>505</v>
      </c>
      <c r="L111" s="3">
        <v>404</v>
      </c>
      <c r="M111" s="3">
        <v>359</v>
      </c>
      <c r="N111" s="3">
        <v>310</v>
      </c>
      <c r="O111" s="3">
        <v>337</v>
      </c>
      <c r="P111" s="3">
        <v>360</v>
      </c>
      <c r="R111" s="3">
        <v>342</v>
      </c>
      <c r="T111" s="3">
        <f t="shared" si="8"/>
        <v>349.13303506985051</v>
      </c>
      <c r="U111" s="3">
        <f t="shared" si="9"/>
        <v>349.13241787050447</v>
      </c>
      <c r="X111" s="2">
        <v>21217</v>
      </c>
      <c r="Y111" s="3">
        <v>318</v>
      </c>
      <c r="Z111" s="3">
        <f t="shared" si="7"/>
        <v>333.96019958255505</v>
      </c>
      <c r="AA111" s="3"/>
    </row>
    <row r="112" spans="1:27" x14ac:dyDescent="0.3">
      <c r="A112" s="2">
        <v>21245</v>
      </c>
      <c r="B112" s="3">
        <v>362</v>
      </c>
      <c r="D112" s="3">
        <v>1</v>
      </c>
      <c r="E112" s="3">
        <v>362</v>
      </c>
      <c r="F112" s="3">
        <v>348</v>
      </c>
      <c r="G112" s="3">
        <v>363</v>
      </c>
      <c r="H112" s="3">
        <v>435</v>
      </c>
      <c r="I112" s="3">
        <v>491</v>
      </c>
      <c r="J112" s="3">
        <v>505</v>
      </c>
      <c r="K112" s="3">
        <v>404</v>
      </c>
      <c r="L112" s="3">
        <v>359</v>
      </c>
      <c r="M112" s="3">
        <v>310</v>
      </c>
      <c r="N112" s="3">
        <v>337</v>
      </c>
      <c r="O112" s="3">
        <v>360</v>
      </c>
      <c r="P112" s="3">
        <v>342</v>
      </c>
      <c r="R112" s="3">
        <v>406</v>
      </c>
      <c r="T112" s="3">
        <f t="shared" si="8"/>
        <v>386.5054472546334</v>
      </c>
      <c r="U112" s="3">
        <f t="shared" si="9"/>
        <v>386.50508983249063</v>
      </c>
      <c r="X112" s="2">
        <v>21245</v>
      </c>
      <c r="Y112" s="3">
        <v>362</v>
      </c>
      <c r="Z112" s="3">
        <f t="shared" si="7"/>
        <v>374.26644429907367</v>
      </c>
      <c r="AA112" s="3"/>
    </row>
    <row r="113" spans="1:27" x14ac:dyDescent="0.3">
      <c r="A113" s="2">
        <v>21276</v>
      </c>
      <c r="B113" s="3">
        <v>348</v>
      </c>
      <c r="D113" s="3">
        <v>1</v>
      </c>
      <c r="E113" s="3">
        <v>348</v>
      </c>
      <c r="F113" s="3">
        <v>363</v>
      </c>
      <c r="G113" s="3">
        <v>435</v>
      </c>
      <c r="H113" s="3">
        <v>491</v>
      </c>
      <c r="I113" s="3">
        <v>505</v>
      </c>
      <c r="J113" s="3">
        <v>404</v>
      </c>
      <c r="K113" s="3">
        <v>359</v>
      </c>
      <c r="L113" s="3">
        <v>310</v>
      </c>
      <c r="M113" s="3">
        <v>337</v>
      </c>
      <c r="N113" s="3">
        <v>360</v>
      </c>
      <c r="O113" s="3">
        <v>342</v>
      </c>
      <c r="P113" s="3">
        <v>406</v>
      </c>
      <c r="R113" s="3">
        <v>396</v>
      </c>
      <c r="T113" s="3">
        <f t="shared" si="8"/>
        <v>387.70890442843404</v>
      </c>
      <c r="U113" s="3">
        <f t="shared" si="9"/>
        <v>387.71089279289362</v>
      </c>
      <c r="X113" s="2">
        <v>21276</v>
      </c>
      <c r="Y113" s="3">
        <v>348</v>
      </c>
      <c r="Z113" s="3">
        <f t="shared" si="7"/>
        <v>375.93901967986494</v>
      </c>
      <c r="AA113" s="3"/>
    </row>
    <row r="114" spans="1:27" x14ac:dyDescent="0.3">
      <c r="A114" s="2">
        <v>21306</v>
      </c>
      <c r="B114" s="3">
        <v>363</v>
      </c>
      <c r="D114" s="3">
        <v>1</v>
      </c>
      <c r="E114" s="3">
        <v>363</v>
      </c>
      <c r="F114" s="3">
        <v>435</v>
      </c>
      <c r="G114" s="3">
        <v>491</v>
      </c>
      <c r="H114" s="3">
        <v>505</v>
      </c>
      <c r="I114" s="3">
        <v>404</v>
      </c>
      <c r="J114" s="3">
        <v>359</v>
      </c>
      <c r="K114" s="3">
        <v>310</v>
      </c>
      <c r="L114" s="3">
        <v>337</v>
      </c>
      <c r="M114" s="3">
        <v>360</v>
      </c>
      <c r="N114" s="3">
        <v>342</v>
      </c>
      <c r="O114" s="3">
        <v>406</v>
      </c>
      <c r="P114" s="3">
        <v>396</v>
      </c>
      <c r="R114" s="3">
        <v>420</v>
      </c>
      <c r="T114" s="3">
        <f t="shared" si="8"/>
        <v>414.38505624013783</v>
      </c>
      <c r="U114" s="3">
        <f t="shared" si="9"/>
        <v>414.38447009509582</v>
      </c>
      <c r="X114" s="2">
        <v>21306</v>
      </c>
      <c r="Y114" s="3">
        <v>363</v>
      </c>
      <c r="Z114" s="3">
        <f t="shared" si="7"/>
        <v>390.21298120370682</v>
      </c>
      <c r="AA114" s="3"/>
    </row>
    <row r="115" spans="1:27" x14ac:dyDescent="0.3">
      <c r="A115" s="2">
        <v>21337</v>
      </c>
      <c r="B115" s="3">
        <v>435</v>
      </c>
      <c r="D115" s="3">
        <v>1</v>
      </c>
      <c r="E115" s="3">
        <v>435</v>
      </c>
      <c r="F115" s="3">
        <v>491</v>
      </c>
      <c r="G115" s="3">
        <v>505</v>
      </c>
      <c r="H115" s="3">
        <v>404</v>
      </c>
      <c r="I115" s="3">
        <v>359</v>
      </c>
      <c r="J115" s="3">
        <v>310</v>
      </c>
      <c r="K115" s="3">
        <v>337</v>
      </c>
      <c r="L115" s="3">
        <v>360</v>
      </c>
      <c r="M115" s="3">
        <v>342</v>
      </c>
      <c r="N115" s="3">
        <v>406</v>
      </c>
      <c r="O115" s="3">
        <v>396</v>
      </c>
      <c r="P115" s="3">
        <v>420</v>
      </c>
      <c r="R115" s="3">
        <v>472</v>
      </c>
      <c r="T115" s="3">
        <f t="shared" si="8"/>
        <v>477.56840565979559</v>
      </c>
      <c r="U115" s="3">
        <f t="shared" si="9"/>
        <v>477.56803730790762</v>
      </c>
      <c r="X115" s="2">
        <v>21337</v>
      </c>
      <c r="Y115" s="3">
        <v>435</v>
      </c>
      <c r="Z115" s="3">
        <f t="shared" si="7"/>
        <v>453.16213751586884</v>
      </c>
      <c r="AA115" s="3"/>
    </row>
    <row r="116" spans="1:27" x14ac:dyDescent="0.3">
      <c r="A116" s="2">
        <v>21367</v>
      </c>
      <c r="B116" s="3">
        <v>491</v>
      </c>
      <c r="D116" s="3">
        <v>1</v>
      </c>
      <c r="E116" s="3">
        <v>491</v>
      </c>
      <c r="F116" s="3">
        <v>505</v>
      </c>
      <c r="G116" s="3">
        <v>404</v>
      </c>
      <c r="H116" s="3">
        <v>359</v>
      </c>
      <c r="I116" s="3">
        <v>310</v>
      </c>
      <c r="J116" s="3">
        <v>337</v>
      </c>
      <c r="K116" s="3">
        <v>360</v>
      </c>
      <c r="L116" s="3">
        <v>342</v>
      </c>
      <c r="M116" s="3">
        <v>406</v>
      </c>
      <c r="N116" s="3">
        <v>396</v>
      </c>
      <c r="O116" s="3">
        <v>420</v>
      </c>
      <c r="P116" s="3">
        <v>472</v>
      </c>
      <c r="R116" s="3">
        <v>548</v>
      </c>
      <c r="T116" s="3">
        <f t="shared" si="8"/>
        <v>539.36441311940723</v>
      </c>
      <c r="U116" s="3">
        <f t="shared" si="9"/>
        <v>539.36462457032337</v>
      </c>
      <c r="X116" s="2">
        <v>21367</v>
      </c>
      <c r="Y116" s="3">
        <v>491</v>
      </c>
      <c r="Z116" s="3">
        <f t="shared" si="7"/>
        <v>506.73427643066998</v>
      </c>
      <c r="AA116" s="3"/>
    </row>
    <row r="117" spans="1:27" x14ac:dyDescent="0.3">
      <c r="A117" s="2">
        <v>21398</v>
      </c>
      <c r="B117" s="3">
        <v>505</v>
      </c>
      <c r="D117" s="3">
        <v>1</v>
      </c>
      <c r="E117" s="3">
        <v>505</v>
      </c>
      <c r="F117" s="3">
        <v>404</v>
      </c>
      <c r="G117" s="3">
        <v>359</v>
      </c>
      <c r="H117" s="3">
        <v>310</v>
      </c>
      <c r="I117" s="3">
        <v>337</v>
      </c>
      <c r="J117" s="3">
        <v>360</v>
      </c>
      <c r="K117" s="3">
        <v>342</v>
      </c>
      <c r="L117" s="3">
        <v>406</v>
      </c>
      <c r="M117" s="3">
        <v>396</v>
      </c>
      <c r="N117" s="3">
        <v>420</v>
      </c>
      <c r="O117" s="3">
        <v>472</v>
      </c>
      <c r="P117" s="3">
        <v>548</v>
      </c>
      <c r="R117" s="3">
        <v>559</v>
      </c>
      <c r="T117" s="3">
        <f t="shared" si="8"/>
        <v>555.31752725078331</v>
      </c>
      <c r="U117" s="3">
        <f t="shared" si="9"/>
        <v>555.32048626141102</v>
      </c>
      <c r="X117" s="2">
        <v>21398</v>
      </c>
      <c r="Y117" s="3">
        <v>505</v>
      </c>
      <c r="Z117" s="3">
        <f t="shared" si="7"/>
        <v>508.86104076508184</v>
      </c>
      <c r="AA117" s="3"/>
    </row>
    <row r="118" spans="1:27" x14ac:dyDescent="0.3">
      <c r="A118" s="2">
        <v>21429</v>
      </c>
      <c r="B118" s="3">
        <v>404</v>
      </c>
      <c r="D118" s="3">
        <v>1</v>
      </c>
      <c r="E118" s="3">
        <v>404</v>
      </c>
      <c r="F118" s="3">
        <v>359</v>
      </c>
      <c r="G118" s="3">
        <v>310</v>
      </c>
      <c r="H118" s="3">
        <v>337</v>
      </c>
      <c r="I118" s="3">
        <v>360</v>
      </c>
      <c r="J118" s="3">
        <v>342</v>
      </c>
      <c r="K118" s="3">
        <v>406</v>
      </c>
      <c r="L118" s="3">
        <v>396</v>
      </c>
      <c r="M118" s="3">
        <v>420</v>
      </c>
      <c r="N118" s="3">
        <v>472</v>
      </c>
      <c r="O118" s="3">
        <v>548</v>
      </c>
      <c r="P118" s="3">
        <v>559</v>
      </c>
      <c r="R118" s="3">
        <v>463</v>
      </c>
      <c r="T118" s="3">
        <f t="shared" si="8"/>
        <v>463.80905969657806</v>
      </c>
      <c r="U118" s="3">
        <f t="shared" si="9"/>
        <v>463.81037478282622</v>
      </c>
      <c r="X118" s="2">
        <v>21429</v>
      </c>
      <c r="Y118" s="3">
        <v>404</v>
      </c>
      <c r="Z118" s="3">
        <f t="shared" si="7"/>
        <v>456.17585403196904</v>
      </c>
      <c r="AA118" s="3"/>
    </row>
    <row r="119" spans="1:27" x14ac:dyDescent="0.3">
      <c r="A119" s="2">
        <v>21459</v>
      </c>
      <c r="B119" s="3">
        <v>359</v>
      </c>
      <c r="D119" s="3">
        <v>1</v>
      </c>
      <c r="E119" s="3">
        <v>359</v>
      </c>
      <c r="F119" s="3">
        <v>310</v>
      </c>
      <c r="G119" s="3">
        <v>337</v>
      </c>
      <c r="H119" s="3">
        <v>360</v>
      </c>
      <c r="I119" s="3">
        <v>342</v>
      </c>
      <c r="J119" s="3">
        <v>406</v>
      </c>
      <c r="K119" s="3">
        <v>396</v>
      </c>
      <c r="L119" s="3">
        <v>420</v>
      </c>
      <c r="M119" s="3">
        <v>472</v>
      </c>
      <c r="N119" s="3">
        <v>548</v>
      </c>
      <c r="O119" s="3">
        <v>559</v>
      </c>
      <c r="P119" s="3">
        <v>463</v>
      </c>
      <c r="R119" s="3">
        <v>407</v>
      </c>
      <c r="T119" s="3">
        <f t="shared" si="8"/>
        <v>402.13624844740224</v>
      </c>
      <c r="U119" s="3">
        <f t="shared" si="9"/>
        <v>402.13517557842113</v>
      </c>
      <c r="X119" s="2">
        <v>21459</v>
      </c>
      <c r="Y119" s="3">
        <v>359</v>
      </c>
      <c r="Z119" s="3">
        <f t="shared" si="7"/>
        <v>368.01316554767152</v>
      </c>
      <c r="AA119" s="3"/>
    </row>
    <row r="120" spans="1:27" x14ac:dyDescent="0.3">
      <c r="A120" s="2">
        <v>21490</v>
      </c>
      <c r="B120" s="3">
        <v>310</v>
      </c>
      <c r="D120" s="3">
        <v>1</v>
      </c>
      <c r="E120" s="3">
        <v>310</v>
      </c>
      <c r="F120" s="3">
        <v>337</v>
      </c>
      <c r="G120" s="3">
        <v>360</v>
      </c>
      <c r="H120" s="3">
        <v>342</v>
      </c>
      <c r="I120" s="3">
        <v>406</v>
      </c>
      <c r="J120" s="3">
        <v>396</v>
      </c>
      <c r="K120" s="3">
        <v>420</v>
      </c>
      <c r="L120" s="3">
        <v>472</v>
      </c>
      <c r="M120" s="3">
        <v>548</v>
      </c>
      <c r="N120" s="3">
        <v>559</v>
      </c>
      <c r="O120" s="3">
        <v>463</v>
      </c>
      <c r="P120" s="3">
        <v>407</v>
      </c>
      <c r="R120" s="3">
        <v>362</v>
      </c>
      <c r="T120" s="3">
        <f t="shared" si="8"/>
        <v>345.24943121133077</v>
      </c>
      <c r="U120" s="3">
        <f t="shared" si="9"/>
        <v>345.24874288422393</v>
      </c>
      <c r="X120" s="2">
        <v>21490</v>
      </c>
      <c r="Y120" s="3">
        <v>310</v>
      </c>
      <c r="Z120" s="3">
        <f t="shared" si="7"/>
        <v>342.61830018961837</v>
      </c>
      <c r="AA120" s="3"/>
    </row>
    <row r="121" spans="1:27" x14ac:dyDescent="0.3">
      <c r="A121" s="2">
        <v>21520</v>
      </c>
      <c r="B121" s="3">
        <v>337</v>
      </c>
      <c r="D121" s="3">
        <v>1</v>
      </c>
      <c r="E121" s="3">
        <v>337</v>
      </c>
      <c r="F121" s="3">
        <v>360</v>
      </c>
      <c r="G121" s="3">
        <v>342</v>
      </c>
      <c r="H121" s="3">
        <v>406</v>
      </c>
      <c r="I121" s="3">
        <v>396</v>
      </c>
      <c r="J121" s="3">
        <v>420</v>
      </c>
      <c r="K121" s="3">
        <v>472</v>
      </c>
      <c r="L121" s="3">
        <v>548</v>
      </c>
      <c r="M121" s="3">
        <v>559</v>
      </c>
      <c r="N121" s="3">
        <v>463</v>
      </c>
      <c r="O121" s="3">
        <v>407</v>
      </c>
      <c r="P121" s="3">
        <v>362</v>
      </c>
      <c r="R121" s="3">
        <v>405</v>
      </c>
      <c r="T121" s="3">
        <f t="shared" si="8"/>
        <v>380.16714191077676</v>
      </c>
      <c r="U121" s="3">
        <f t="shared" si="9"/>
        <v>380.16718428031646</v>
      </c>
      <c r="X121" s="2">
        <v>21520</v>
      </c>
      <c r="Y121" s="3">
        <v>337</v>
      </c>
      <c r="Z121" s="3">
        <f t="shared" si="7"/>
        <v>353.81593225026495</v>
      </c>
      <c r="AA121" s="3"/>
    </row>
    <row r="122" spans="1:27" x14ac:dyDescent="0.3">
      <c r="A122" s="2">
        <v>21551</v>
      </c>
      <c r="B122" s="3">
        <v>360</v>
      </c>
      <c r="D122" s="3">
        <v>1</v>
      </c>
      <c r="E122" s="3">
        <v>360</v>
      </c>
      <c r="F122" s="3">
        <v>342</v>
      </c>
      <c r="G122" s="3">
        <v>406</v>
      </c>
      <c r="H122" s="3">
        <v>396</v>
      </c>
      <c r="I122" s="3">
        <v>420</v>
      </c>
      <c r="J122" s="3">
        <v>472</v>
      </c>
      <c r="K122" s="3">
        <v>548</v>
      </c>
      <c r="L122" s="3">
        <v>559</v>
      </c>
      <c r="M122" s="3">
        <v>463</v>
      </c>
      <c r="N122" s="3">
        <v>407</v>
      </c>
      <c r="O122" s="3">
        <v>362</v>
      </c>
      <c r="P122" s="3">
        <v>405</v>
      </c>
      <c r="R122" s="3">
        <v>417</v>
      </c>
      <c r="T122" s="3">
        <f t="shared" si="8"/>
        <v>400.99797079457926</v>
      </c>
      <c r="U122" s="3">
        <f t="shared" si="9"/>
        <v>400.99989022891884</v>
      </c>
      <c r="X122" s="2">
        <v>21551</v>
      </c>
      <c r="Y122" s="3">
        <v>360</v>
      </c>
      <c r="Z122" s="3">
        <f t="shared" si="7"/>
        <v>373.5452189495125</v>
      </c>
      <c r="AA122" s="3"/>
    </row>
    <row r="123" spans="1:27" x14ac:dyDescent="0.3">
      <c r="A123" s="2">
        <v>21582</v>
      </c>
      <c r="B123" s="3">
        <v>342</v>
      </c>
      <c r="D123" s="9">
        <v>1</v>
      </c>
      <c r="E123" s="9">
        <v>342</v>
      </c>
      <c r="F123" s="9">
        <v>406</v>
      </c>
      <c r="G123" s="9">
        <v>396</v>
      </c>
      <c r="H123" s="9">
        <v>420</v>
      </c>
      <c r="I123" s="9">
        <v>472</v>
      </c>
      <c r="J123" s="9">
        <v>548</v>
      </c>
      <c r="K123" s="9">
        <v>559</v>
      </c>
      <c r="L123" s="9">
        <v>463</v>
      </c>
      <c r="M123" s="9">
        <v>407</v>
      </c>
      <c r="N123" s="9">
        <v>362</v>
      </c>
      <c r="O123" s="9">
        <v>405</v>
      </c>
      <c r="P123" s="9">
        <v>417</v>
      </c>
      <c r="R123" s="9">
        <v>391</v>
      </c>
      <c r="S123" s="10"/>
      <c r="T123" s="9">
        <f t="shared" si="8"/>
        <v>391.53894439675184</v>
      </c>
      <c r="U123" s="9">
        <f t="shared" si="9"/>
        <v>391.53763625789486</v>
      </c>
      <c r="X123" s="2">
        <v>21582</v>
      </c>
      <c r="Y123" s="3">
        <v>342</v>
      </c>
      <c r="Z123" s="3">
        <f t="shared" si="7"/>
        <v>349.13241787050447</v>
      </c>
      <c r="AA123" s="3"/>
    </row>
    <row r="124" spans="1:27" x14ac:dyDescent="0.3">
      <c r="A124" s="2">
        <v>21610</v>
      </c>
      <c r="B124" s="3">
        <v>406</v>
      </c>
      <c r="D124" s="9">
        <v>1</v>
      </c>
      <c r="E124" s="9">
        <v>406</v>
      </c>
      <c r="F124" s="9">
        <v>396</v>
      </c>
      <c r="G124" s="9">
        <v>420</v>
      </c>
      <c r="H124" s="9">
        <v>472</v>
      </c>
      <c r="I124" s="9">
        <v>548</v>
      </c>
      <c r="J124" s="9">
        <v>559</v>
      </c>
      <c r="K124" s="9">
        <v>463</v>
      </c>
      <c r="L124" s="9">
        <v>407</v>
      </c>
      <c r="M124" s="9">
        <v>362</v>
      </c>
      <c r="N124" s="9">
        <v>405</v>
      </c>
      <c r="O124" s="9">
        <v>417</v>
      </c>
      <c r="P124" s="9">
        <v>391</v>
      </c>
      <c r="R124" s="9">
        <v>419</v>
      </c>
      <c r="S124" s="10"/>
      <c r="T124" s="9">
        <f t="shared" si="8"/>
        <v>426.78751347670686</v>
      </c>
      <c r="U124" s="9">
        <f t="shared" si="9"/>
        <v>426.78701947716797</v>
      </c>
      <c r="X124" s="2">
        <v>21610</v>
      </c>
      <c r="Y124" s="3">
        <v>406</v>
      </c>
      <c r="Z124" s="3">
        <f t="shared" si="7"/>
        <v>386.50508983249063</v>
      </c>
      <c r="AA124" s="3"/>
    </row>
    <row r="125" spans="1:27" x14ac:dyDescent="0.3">
      <c r="A125" s="2">
        <v>21641</v>
      </c>
      <c r="B125" s="3">
        <v>396</v>
      </c>
      <c r="D125" s="9">
        <v>1</v>
      </c>
      <c r="E125" s="9">
        <v>396</v>
      </c>
      <c r="F125" s="9">
        <v>420</v>
      </c>
      <c r="G125" s="9">
        <v>472</v>
      </c>
      <c r="H125" s="9">
        <v>548</v>
      </c>
      <c r="I125" s="9">
        <v>559</v>
      </c>
      <c r="J125" s="9">
        <v>463</v>
      </c>
      <c r="K125" s="9">
        <v>407</v>
      </c>
      <c r="L125" s="9">
        <v>362</v>
      </c>
      <c r="M125" s="9">
        <v>405</v>
      </c>
      <c r="N125" s="9">
        <v>417</v>
      </c>
      <c r="O125" s="9">
        <v>391</v>
      </c>
      <c r="P125" s="9">
        <v>419</v>
      </c>
      <c r="R125" s="9">
        <v>461</v>
      </c>
      <c r="S125" s="10"/>
      <c r="T125" s="9">
        <f t="shared" si="8"/>
        <v>429.38138270783043</v>
      </c>
      <c r="U125" s="9">
        <f t="shared" si="9"/>
        <v>429.38269305981845</v>
      </c>
      <c r="X125" s="2">
        <v>21641</v>
      </c>
      <c r="Y125" s="3">
        <v>396</v>
      </c>
      <c r="Z125" s="3">
        <f t="shared" si="7"/>
        <v>387.71089279289362</v>
      </c>
      <c r="AA125" s="3"/>
    </row>
    <row r="126" spans="1:27" x14ac:dyDescent="0.3">
      <c r="A126" s="2">
        <v>21671</v>
      </c>
      <c r="B126" s="3">
        <v>420</v>
      </c>
      <c r="D126" s="9">
        <v>1</v>
      </c>
      <c r="E126" s="9">
        <v>420</v>
      </c>
      <c r="F126" s="9">
        <v>472</v>
      </c>
      <c r="G126" s="9">
        <v>548</v>
      </c>
      <c r="H126" s="9">
        <v>559</v>
      </c>
      <c r="I126" s="9">
        <v>463</v>
      </c>
      <c r="J126" s="9">
        <v>407</v>
      </c>
      <c r="K126" s="9">
        <v>362</v>
      </c>
      <c r="L126" s="9">
        <v>405</v>
      </c>
      <c r="M126" s="9">
        <v>417</v>
      </c>
      <c r="N126" s="9">
        <v>391</v>
      </c>
      <c r="O126" s="9">
        <v>419</v>
      </c>
      <c r="P126" s="9">
        <v>461</v>
      </c>
      <c r="R126" s="9">
        <v>472</v>
      </c>
      <c r="S126" s="10"/>
      <c r="T126" s="9">
        <f t="shared" si="8"/>
        <v>482.60906453232121</v>
      </c>
      <c r="U126" s="9">
        <f t="shared" si="9"/>
        <v>482.61009307207269</v>
      </c>
      <c r="X126" s="2">
        <v>21671</v>
      </c>
      <c r="Y126" s="3">
        <v>420</v>
      </c>
      <c r="Z126" s="3">
        <f t="shared" si="7"/>
        <v>414.38447009509582</v>
      </c>
      <c r="AA126" s="3"/>
    </row>
    <row r="127" spans="1:27" x14ac:dyDescent="0.3">
      <c r="A127" s="2">
        <v>21702</v>
      </c>
      <c r="B127" s="3">
        <v>472</v>
      </c>
      <c r="D127" s="9">
        <v>1</v>
      </c>
      <c r="E127" s="9">
        <v>472</v>
      </c>
      <c r="F127" s="9">
        <v>548</v>
      </c>
      <c r="G127" s="9">
        <v>559</v>
      </c>
      <c r="H127" s="9">
        <v>463</v>
      </c>
      <c r="I127" s="9">
        <v>407</v>
      </c>
      <c r="J127" s="9">
        <v>362</v>
      </c>
      <c r="K127" s="9">
        <v>405</v>
      </c>
      <c r="L127" s="9">
        <v>417</v>
      </c>
      <c r="M127" s="9">
        <v>391</v>
      </c>
      <c r="N127" s="9">
        <v>419</v>
      </c>
      <c r="O127" s="9">
        <v>461</v>
      </c>
      <c r="P127" s="9">
        <v>472</v>
      </c>
      <c r="R127" s="9">
        <v>535</v>
      </c>
      <c r="S127" s="10"/>
      <c r="T127" s="9">
        <f t="shared" si="8"/>
        <v>514.81798167842203</v>
      </c>
      <c r="U127" s="9">
        <f t="shared" si="9"/>
        <v>514.81740248634981</v>
      </c>
      <c r="X127" s="2">
        <v>21702</v>
      </c>
      <c r="Y127" s="3">
        <v>472</v>
      </c>
      <c r="Z127" s="3">
        <f t="shared" si="7"/>
        <v>477.56803730790762</v>
      </c>
      <c r="AA127" s="3"/>
    </row>
    <row r="128" spans="1:27" x14ac:dyDescent="0.3">
      <c r="A128" s="2">
        <v>21732</v>
      </c>
      <c r="B128" s="3">
        <v>548</v>
      </c>
      <c r="D128" s="9">
        <v>1</v>
      </c>
      <c r="E128" s="9">
        <v>548</v>
      </c>
      <c r="F128" s="9">
        <v>559</v>
      </c>
      <c r="G128" s="9">
        <v>463</v>
      </c>
      <c r="H128" s="9">
        <v>407</v>
      </c>
      <c r="I128" s="9">
        <v>362</v>
      </c>
      <c r="J128" s="9">
        <v>405</v>
      </c>
      <c r="K128" s="9">
        <v>417</v>
      </c>
      <c r="L128" s="9">
        <v>391</v>
      </c>
      <c r="M128" s="9">
        <v>419</v>
      </c>
      <c r="N128" s="9">
        <v>461</v>
      </c>
      <c r="O128" s="9">
        <v>472</v>
      </c>
      <c r="P128" s="9">
        <v>535</v>
      </c>
      <c r="R128" s="9">
        <v>622</v>
      </c>
      <c r="S128" s="10"/>
      <c r="T128" s="9">
        <f t="shared" si="8"/>
        <v>611.95107657121468</v>
      </c>
      <c r="U128" s="9">
        <f t="shared" si="9"/>
        <v>611.95100254794761</v>
      </c>
      <c r="X128" s="2">
        <v>21732</v>
      </c>
      <c r="Y128" s="3">
        <v>548</v>
      </c>
      <c r="Z128" s="3">
        <f t="shared" si="7"/>
        <v>539.36462457032337</v>
      </c>
      <c r="AA128" s="3"/>
    </row>
    <row r="129" spans="1:27" x14ac:dyDescent="0.3">
      <c r="A129" s="2">
        <v>21763</v>
      </c>
      <c r="B129" s="3">
        <v>559</v>
      </c>
      <c r="D129" s="9">
        <v>1</v>
      </c>
      <c r="E129" s="9">
        <v>559</v>
      </c>
      <c r="F129" s="9">
        <v>463</v>
      </c>
      <c r="G129" s="9">
        <v>407</v>
      </c>
      <c r="H129" s="9">
        <v>362</v>
      </c>
      <c r="I129" s="9">
        <v>405</v>
      </c>
      <c r="J129" s="9">
        <v>417</v>
      </c>
      <c r="K129" s="9">
        <v>391</v>
      </c>
      <c r="L129" s="9">
        <v>419</v>
      </c>
      <c r="M129" s="9">
        <v>461</v>
      </c>
      <c r="N129" s="9">
        <v>472</v>
      </c>
      <c r="O129" s="9">
        <v>535</v>
      </c>
      <c r="P129" s="9">
        <v>622</v>
      </c>
      <c r="R129" s="9">
        <v>606</v>
      </c>
      <c r="S129" s="10"/>
      <c r="T129" s="9">
        <f t="shared" si="8"/>
        <v>606.63232135292481</v>
      </c>
      <c r="U129" s="9">
        <f t="shared" si="9"/>
        <v>606.63558737288531</v>
      </c>
      <c r="X129" s="2">
        <v>21763</v>
      </c>
      <c r="Y129" s="3">
        <v>559</v>
      </c>
      <c r="Z129" s="3">
        <f t="shared" si="7"/>
        <v>555.32048626141102</v>
      </c>
      <c r="AA129" s="3"/>
    </row>
    <row r="130" spans="1:27" x14ac:dyDescent="0.3">
      <c r="A130" s="2">
        <v>21794</v>
      </c>
      <c r="B130" s="3">
        <v>463</v>
      </c>
      <c r="D130" s="9">
        <v>1</v>
      </c>
      <c r="E130" s="9">
        <v>463</v>
      </c>
      <c r="F130" s="9">
        <v>407</v>
      </c>
      <c r="G130" s="9">
        <v>362</v>
      </c>
      <c r="H130" s="9">
        <v>405</v>
      </c>
      <c r="I130" s="9">
        <v>417</v>
      </c>
      <c r="J130" s="9">
        <v>391</v>
      </c>
      <c r="K130" s="9">
        <v>419</v>
      </c>
      <c r="L130" s="9">
        <v>461</v>
      </c>
      <c r="M130" s="9">
        <v>472</v>
      </c>
      <c r="N130" s="9">
        <v>535</v>
      </c>
      <c r="O130" s="9">
        <v>622</v>
      </c>
      <c r="P130" s="9">
        <v>606</v>
      </c>
      <c r="R130" s="9">
        <v>508</v>
      </c>
      <c r="S130" s="10"/>
      <c r="T130" s="9">
        <f t="shared" si="8"/>
        <v>528.92884100548793</v>
      </c>
      <c r="U130" s="9">
        <f t="shared" si="9"/>
        <v>528.9300622953001</v>
      </c>
      <c r="X130" s="2">
        <v>21794</v>
      </c>
      <c r="Y130" s="3">
        <v>463</v>
      </c>
      <c r="Z130" s="3">
        <f t="shared" si="7"/>
        <v>463.81037478282622</v>
      </c>
      <c r="AA130" s="3"/>
    </row>
    <row r="131" spans="1:27" x14ac:dyDescent="0.3">
      <c r="A131" s="2">
        <v>21824</v>
      </c>
      <c r="B131" s="3">
        <v>407</v>
      </c>
      <c r="D131" s="9">
        <v>1</v>
      </c>
      <c r="E131" s="9">
        <v>407</v>
      </c>
      <c r="F131" s="9">
        <v>362</v>
      </c>
      <c r="G131" s="9">
        <v>405</v>
      </c>
      <c r="H131" s="9">
        <v>417</v>
      </c>
      <c r="I131" s="9">
        <v>391</v>
      </c>
      <c r="J131" s="9">
        <v>419</v>
      </c>
      <c r="K131" s="9">
        <v>461</v>
      </c>
      <c r="L131" s="9">
        <v>472</v>
      </c>
      <c r="M131" s="9">
        <v>535</v>
      </c>
      <c r="N131" s="9">
        <v>622</v>
      </c>
      <c r="O131" s="9">
        <v>606</v>
      </c>
      <c r="P131" s="9">
        <v>508</v>
      </c>
      <c r="R131" s="9">
        <v>461</v>
      </c>
      <c r="S131" s="10"/>
      <c r="T131" s="9">
        <f t="shared" si="8"/>
        <v>443.23738975977108</v>
      </c>
      <c r="U131" s="9">
        <f t="shared" si="9"/>
        <v>443.2368814976287</v>
      </c>
      <c r="X131" s="2">
        <v>21824</v>
      </c>
      <c r="Y131" s="3">
        <v>407</v>
      </c>
      <c r="Z131" s="3">
        <f t="shared" si="7"/>
        <v>402.13517557842113</v>
      </c>
      <c r="AA131" s="3"/>
    </row>
    <row r="132" spans="1:27" x14ac:dyDescent="0.3">
      <c r="A132" s="2">
        <v>21855</v>
      </c>
      <c r="B132" s="3">
        <v>362</v>
      </c>
      <c r="D132" s="9">
        <v>1</v>
      </c>
      <c r="E132" s="9">
        <v>362</v>
      </c>
      <c r="F132" s="9">
        <v>405</v>
      </c>
      <c r="G132" s="9">
        <v>417</v>
      </c>
      <c r="H132" s="9">
        <v>391</v>
      </c>
      <c r="I132" s="9">
        <v>419</v>
      </c>
      <c r="J132" s="9">
        <v>461</v>
      </c>
      <c r="K132" s="9">
        <v>472</v>
      </c>
      <c r="L132" s="9">
        <v>535</v>
      </c>
      <c r="M132" s="9">
        <v>622</v>
      </c>
      <c r="N132" s="9">
        <v>606</v>
      </c>
      <c r="O132" s="9">
        <v>508</v>
      </c>
      <c r="P132" s="9">
        <v>461</v>
      </c>
      <c r="R132" s="9">
        <v>390</v>
      </c>
      <c r="S132" s="10"/>
      <c r="T132" s="9">
        <f t="shared" si="8"/>
        <v>415.48834621339404</v>
      </c>
      <c r="U132" s="9">
        <f t="shared" si="9"/>
        <v>415.48716283300337</v>
      </c>
      <c r="X132" s="2">
        <v>21855</v>
      </c>
      <c r="Y132" s="3">
        <v>362</v>
      </c>
      <c r="Z132" s="3">
        <f t="shared" si="7"/>
        <v>345.24874288422393</v>
      </c>
      <c r="AA132" s="3"/>
    </row>
    <row r="133" spans="1:27" x14ac:dyDescent="0.3">
      <c r="A133" s="2">
        <v>21885</v>
      </c>
      <c r="B133" s="3">
        <v>405</v>
      </c>
      <c r="D133" s="9">
        <v>1</v>
      </c>
      <c r="E133" s="9">
        <v>405</v>
      </c>
      <c r="F133" s="9">
        <v>417</v>
      </c>
      <c r="G133" s="9">
        <v>391</v>
      </c>
      <c r="H133" s="9">
        <v>419</v>
      </c>
      <c r="I133" s="9">
        <v>461</v>
      </c>
      <c r="J133" s="9">
        <v>472</v>
      </c>
      <c r="K133" s="9">
        <v>535</v>
      </c>
      <c r="L133" s="9">
        <v>622</v>
      </c>
      <c r="M133" s="9">
        <v>606</v>
      </c>
      <c r="N133" s="9">
        <v>508</v>
      </c>
      <c r="O133" s="9">
        <v>461</v>
      </c>
      <c r="P133" s="9">
        <v>390</v>
      </c>
      <c r="R133" s="9">
        <v>432</v>
      </c>
      <c r="S133" s="10"/>
      <c r="T133" s="9">
        <f t="shared" si="8"/>
        <v>424.208389687151</v>
      </c>
      <c r="U133" s="9">
        <f t="shared" si="9"/>
        <v>424.20853314225451</v>
      </c>
      <c r="X133" s="2">
        <v>21885</v>
      </c>
      <c r="Y133" s="3">
        <v>405</v>
      </c>
      <c r="Z133" s="3">
        <f t="shared" si="7"/>
        <v>380.16718428031646</v>
      </c>
      <c r="AA133" s="3"/>
    </row>
    <row r="134" spans="1:27" x14ac:dyDescent="0.3">
      <c r="A134" s="4">
        <v>21916</v>
      </c>
      <c r="B134" s="5">
        <v>417</v>
      </c>
      <c r="D134" s="8">
        <v>1</v>
      </c>
      <c r="E134" s="8">
        <f t="shared" ref="E134:N149" si="10">F133</f>
        <v>417</v>
      </c>
      <c r="F134" s="8">
        <f t="shared" si="10"/>
        <v>391</v>
      </c>
      <c r="G134" s="8">
        <f t="shared" si="10"/>
        <v>419</v>
      </c>
      <c r="H134" s="8">
        <f t="shared" si="10"/>
        <v>461</v>
      </c>
      <c r="I134" s="8">
        <f t="shared" si="10"/>
        <v>472</v>
      </c>
      <c r="J134" s="8">
        <f t="shared" si="10"/>
        <v>535</v>
      </c>
      <c r="K134" s="8">
        <f t="shared" si="10"/>
        <v>622</v>
      </c>
      <c r="L134" s="8">
        <f t="shared" si="10"/>
        <v>606</v>
      </c>
      <c r="M134" s="8">
        <f t="shared" si="10"/>
        <v>508</v>
      </c>
      <c r="N134" s="8">
        <f t="shared" si="10"/>
        <v>461</v>
      </c>
      <c r="O134" s="8">
        <f>P133</f>
        <v>390</v>
      </c>
      <c r="P134" s="8">
        <f>U133</f>
        <v>424.20853314225451</v>
      </c>
      <c r="T134" s="8">
        <f t="shared" ref="T134:T145" si="11">SUMPRODUCT(D134:P134,$D$173:$P$173)</f>
        <v>461.69999589436566</v>
      </c>
      <c r="U134" s="8">
        <f t="shared" ref="U134:U145" si="12">SUMPRODUCT(D134:P134,$D$174:$P$174)</f>
        <v>461.70175755892024</v>
      </c>
      <c r="X134" s="11">
        <v>21916</v>
      </c>
      <c r="Y134" s="9">
        <v>417</v>
      </c>
      <c r="Z134" s="9">
        <f t="shared" si="7"/>
        <v>400.99989022891884</v>
      </c>
      <c r="AA134" s="9"/>
    </row>
    <row r="135" spans="1:27" x14ac:dyDescent="0.3">
      <c r="A135" s="4">
        <v>21947</v>
      </c>
      <c r="B135" s="5">
        <v>391</v>
      </c>
      <c r="D135" s="8">
        <v>1</v>
      </c>
      <c r="E135" s="8">
        <f t="shared" si="10"/>
        <v>391</v>
      </c>
      <c r="F135" s="8">
        <f t="shared" si="10"/>
        <v>419</v>
      </c>
      <c r="G135" s="8">
        <f t="shared" si="10"/>
        <v>461</v>
      </c>
      <c r="H135" s="8">
        <f t="shared" si="10"/>
        <v>472</v>
      </c>
      <c r="I135" s="8">
        <f t="shared" si="10"/>
        <v>535</v>
      </c>
      <c r="J135" s="8">
        <f t="shared" si="10"/>
        <v>622</v>
      </c>
      <c r="K135" s="8">
        <f t="shared" si="10"/>
        <v>606</v>
      </c>
      <c r="L135" s="8">
        <f t="shared" si="10"/>
        <v>508</v>
      </c>
      <c r="M135" s="8">
        <f t="shared" si="10"/>
        <v>461</v>
      </c>
      <c r="N135" s="8">
        <f t="shared" si="10"/>
        <v>390</v>
      </c>
      <c r="O135" s="8">
        <f t="shared" ref="O135:O169" si="13">P134</f>
        <v>424.20853314225451</v>
      </c>
      <c r="P135" s="8">
        <f t="shared" ref="P135:P145" si="14">U134</f>
        <v>461.70175755892024</v>
      </c>
      <c r="T135" s="8">
        <f t="shared" si="11"/>
        <v>429.72006301992297</v>
      </c>
      <c r="U135" s="8">
        <f t="shared" si="12"/>
        <v>429.72024142981525</v>
      </c>
      <c r="X135" s="11">
        <v>21947</v>
      </c>
      <c r="Y135" s="9">
        <v>391</v>
      </c>
      <c r="Z135" s="9">
        <f t="shared" si="7"/>
        <v>391.53763625789486</v>
      </c>
      <c r="AA135" s="9"/>
    </row>
    <row r="136" spans="1:27" x14ac:dyDescent="0.3">
      <c r="A136" s="4">
        <v>21976</v>
      </c>
      <c r="B136" s="5">
        <v>419</v>
      </c>
      <c r="D136" s="8">
        <v>1</v>
      </c>
      <c r="E136" s="8">
        <f t="shared" si="10"/>
        <v>419</v>
      </c>
      <c r="F136" s="8">
        <f t="shared" si="10"/>
        <v>461</v>
      </c>
      <c r="G136" s="8">
        <f t="shared" si="10"/>
        <v>472</v>
      </c>
      <c r="H136" s="8">
        <f t="shared" si="10"/>
        <v>535</v>
      </c>
      <c r="I136" s="8">
        <f t="shared" si="10"/>
        <v>622</v>
      </c>
      <c r="J136" s="8">
        <f t="shared" si="10"/>
        <v>606</v>
      </c>
      <c r="K136" s="8">
        <f t="shared" si="10"/>
        <v>508</v>
      </c>
      <c r="L136" s="8">
        <f t="shared" si="10"/>
        <v>461</v>
      </c>
      <c r="M136" s="8">
        <f t="shared" si="10"/>
        <v>390</v>
      </c>
      <c r="N136" s="8">
        <f t="shared" si="10"/>
        <v>424.20853314225451</v>
      </c>
      <c r="O136" s="8">
        <f t="shared" si="13"/>
        <v>461.70175755892024</v>
      </c>
      <c r="P136" s="8">
        <f t="shared" si="14"/>
        <v>429.72024142981525</v>
      </c>
      <c r="T136" s="8">
        <f t="shared" si="11"/>
        <v>454.82851741508102</v>
      </c>
      <c r="U136" s="8">
        <f t="shared" si="12"/>
        <v>454.82721838357691</v>
      </c>
      <c r="X136" s="11">
        <v>21976</v>
      </c>
      <c r="Y136" s="9">
        <v>419</v>
      </c>
      <c r="Z136" s="9">
        <f t="shared" si="7"/>
        <v>426.78701947716797</v>
      </c>
      <c r="AA136" s="9"/>
    </row>
    <row r="137" spans="1:27" x14ac:dyDescent="0.3">
      <c r="A137" s="4">
        <v>22007</v>
      </c>
      <c r="B137" s="5">
        <v>461</v>
      </c>
      <c r="D137" s="8">
        <v>1</v>
      </c>
      <c r="E137" s="8">
        <f t="shared" si="10"/>
        <v>461</v>
      </c>
      <c r="F137" s="8">
        <f t="shared" si="10"/>
        <v>472</v>
      </c>
      <c r="G137" s="8">
        <f t="shared" si="10"/>
        <v>535</v>
      </c>
      <c r="H137" s="8">
        <f t="shared" si="10"/>
        <v>622</v>
      </c>
      <c r="I137" s="8">
        <f t="shared" si="10"/>
        <v>606</v>
      </c>
      <c r="J137" s="8">
        <f t="shared" si="10"/>
        <v>508</v>
      </c>
      <c r="K137" s="8">
        <f t="shared" si="10"/>
        <v>461</v>
      </c>
      <c r="L137" s="8">
        <f t="shared" si="10"/>
        <v>390</v>
      </c>
      <c r="M137" s="8">
        <f t="shared" si="10"/>
        <v>424.20853314225451</v>
      </c>
      <c r="N137" s="8">
        <f t="shared" si="10"/>
        <v>461.70175755892024</v>
      </c>
      <c r="O137" s="8">
        <f t="shared" si="13"/>
        <v>429.72024142981525</v>
      </c>
      <c r="P137" s="8">
        <f t="shared" si="14"/>
        <v>454.82721838357691</v>
      </c>
      <c r="T137" s="8">
        <f t="shared" si="11"/>
        <v>491.6673567594687</v>
      </c>
      <c r="U137" s="8">
        <f t="shared" si="12"/>
        <v>491.66889662011283</v>
      </c>
      <c r="X137" s="11">
        <v>22007</v>
      </c>
      <c r="Y137" s="9">
        <v>461</v>
      </c>
      <c r="Z137" s="9">
        <f t="shared" si="7"/>
        <v>429.38269305981845</v>
      </c>
      <c r="AA137" s="9"/>
    </row>
    <row r="138" spans="1:27" x14ac:dyDescent="0.3">
      <c r="A138" s="4">
        <v>22037</v>
      </c>
      <c r="B138" s="5">
        <v>472</v>
      </c>
      <c r="D138" s="8">
        <v>1</v>
      </c>
      <c r="E138" s="8">
        <f t="shared" si="10"/>
        <v>472</v>
      </c>
      <c r="F138" s="8">
        <f t="shared" si="10"/>
        <v>535</v>
      </c>
      <c r="G138" s="8">
        <f t="shared" si="10"/>
        <v>622</v>
      </c>
      <c r="H138" s="8">
        <f t="shared" si="10"/>
        <v>606</v>
      </c>
      <c r="I138" s="8">
        <f t="shared" si="10"/>
        <v>508</v>
      </c>
      <c r="J138" s="8">
        <f t="shared" si="10"/>
        <v>461</v>
      </c>
      <c r="K138" s="8">
        <f t="shared" si="10"/>
        <v>390</v>
      </c>
      <c r="L138" s="8">
        <f t="shared" si="10"/>
        <v>424.20853314225451</v>
      </c>
      <c r="M138" s="8">
        <f t="shared" si="10"/>
        <v>461.70175755892024</v>
      </c>
      <c r="N138" s="8">
        <f t="shared" si="10"/>
        <v>429.72024142981525</v>
      </c>
      <c r="O138" s="8">
        <f t="shared" si="13"/>
        <v>454.82721838357691</v>
      </c>
      <c r="P138" s="8">
        <f t="shared" si="14"/>
        <v>491.66889662011283</v>
      </c>
      <c r="T138" s="8">
        <f t="shared" si="11"/>
        <v>527.20202308925309</v>
      </c>
      <c r="U138" s="8">
        <f t="shared" si="12"/>
        <v>527.20273674969508</v>
      </c>
      <c r="X138" s="11">
        <v>22037</v>
      </c>
      <c r="Y138" s="9">
        <v>472</v>
      </c>
      <c r="Z138" s="9">
        <f t="shared" si="7"/>
        <v>482.61009307207269</v>
      </c>
      <c r="AA138" s="9"/>
    </row>
    <row r="139" spans="1:27" x14ac:dyDescent="0.3">
      <c r="A139" s="4">
        <v>22068</v>
      </c>
      <c r="B139" s="5">
        <v>535</v>
      </c>
      <c r="D139" s="8">
        <v>1</v>
      </c>
      <c r="E139" s="8">
        <f t="shared" si="10"/>
        <v>535</v>
      </c>
      <c r="F139" s="8">
        <f t="shared" si="10"/>
        <v>622</v>
      </c>
      <c r="G139" s="8">
        <f t="shared" si="10"/>
        <v>606</v>
      </c>
      <c r="H139" s="8">
        <f t="shared" si="10"/>
        <v>508</v>
      </c>
      <c r="I139" s="8">
        <f t="shared" si="10"/>
        <v>461</v>
      </c>
      <c r="J139" s="8">
        <f t="shared" si="10"/>
        <v>390</v>
      </c>
      <c r="K139" s="8">
        <f t="shared" si="10"/>
        <v>424.20853314225451</v>
      </c>
      <c r="L139" s="8">
        <f t="shared" si="10"/>
        <v>461.70175755892024</v>
      </c>
      <c r="M139" s="8">
        <f t="shared" si="10"/>
        <v>429.72024142981525</v>
      </c>
      <c r="N139" s="8">
        <f t="shared" si="10"/>
        <v>454.82721838357691</v>
      </c>
      <c r="O139" s="8">
        <f t="shared" si="13"/>
        <v>491.66889662011283</v>
      </c>
      <c r="P139" s="8">
        <f t="shared" si="14"/>
        <v>527.20273674969508</v>
      </c>
      <c r="T139" s="8">
        <f t="shared" si="11"/>
        <v>589.55345817392686</v>
      </c>
      <c r="U139" s="8">
        <f t="shared" si="12"/>
        <v>589.55326253418048</v>
      </c>
      <c r="X139" s="11">
        <v>22068</v>
      </c>
      <c r="Y139" s="9">
        <v>535</v>
      </c>
      <c r="Z139" s="9">
        <f t="shared" si="7"/>
        <v>514.81740248634981</v>
      </c>
      <c r="AA139" s="9"/>
    </row>
    <row r="140" spans="1:27" x14ac:dyDescent="0.3">
      <c r="A140" s="4">
        <v>22098</v>
      </c>
      <c r="B140" s="5">
        <v>622</v>
      </c>
      <c r="D140" s="8">
        <v>1</v>
      </c>
      <c r="E140" s="8">
        <f t="shared" si="10"/>
        <v>622</v>
      </c>
      <c r="F140" s="8">
        <f t="shared" si="10"/>
        <v>606</v>
      </c>
      <c r="G140" s="8">
        <f t="shared" si="10"/>
        <v>508</v>
      </c>
      <c r="H140" s="8">
        <f t="shared" si="10"/>
        <v>461</v>
      </c>
      <c r="I140" s="8">
        <f t="shared" si="10"/>
        <v>390</v>
      </c>
      <c r="J140" s="8">
        <f t="shared" si="10"/>
        <v>424.20853314225451</v>
      </c>
      <c r="K140" s="8">
        <f t="shared" si="10"/>
        <v>461.70175755892024</v>
      </c>
      <c r="L140" s="8">
        <f t="shared" si="10"/>
        <v>429.72024142981525</v>
      </c>
      <c r="M140" s="8">
        <f t="shared" si="10"/>
        <v>454.82721838357691</v>
      </c>
      <c r="N140" s="8">
        <f t="shared" si="10"/>
        <v>491.66889662011283</v>
      </c>
      <c r="O140" s="8">
        <f t="shared" si="13"/>
        <v>527.20273674969508</v>
      </c>
      <c r="P140" s="8">
        <f t="shared" si="14"/>
        <v>589.55326253418048</v>
      </c>
      <c r="T140" s="8">
        <f t="shared" si="11"/>
        <v>679.48868175835025</v>
      </c>
      <c r="U140" s="8">
        <f t="shared" si="12"/>
        <v>679.48950493832422</v>
      </c>
      <c r="X140" s="11">
        <v>22098</v>
      </c>
      <c r="Y140" s="9">
        <v>622</v>
      </c>
      <c r="Z140" s="9">
        <f t="shared" si="7"/>
        <v>611.95100254794761</v>
      </c>
      <c r="AA140" s="9"/>
    </row>
    <row r="141" spans="1:27" x14ac:dyDescent="0.3">
      <c r="A141" s="4">
        <v>22129</v>
      </c>
      <c r="B141" s="5">
        <v>606</v>
      </c>
      <c r="D141" s="8">
        <v>1</v>
      </c>
      <c r="E141" s="8">
        <f t="shared" si="10"/>
        <v>606</v>
      </c>
      <c r="F141" s="8">
        <f t="shared" si="10"/>
        <v>508</v>
      </c>
      <c r="G141" s="8">
        <f t="shared" si="10"/>
        <v>461</v>
      </c>
      <c r="H141" s="8">
        <f t="shared" si="10"/>
        <v>390</v>
      </c>
      <c r="I141" s="8">
        <f t="shared" si="10"/>
        <v>424.20853314225451</v>
      </c>
      <c r="J141" s="8">
        <f t="shared" si="10"/>
        <v>461.70175755892024</v>
      </c>
      <c r="K141" s="8">
        <f t="shared" si="10"/>
        <v>429.72024142981525</v>
      </c>
      <c r="L141" s="8">
        <f t="shared" si="10"/>
        <v>454.82721838357691</v>
      </c>
      <c r="M141" s="8">
        <f t="shared" si="10"/>
        <v>491.66889662011283</v>
      </c>
      <c r="N141" s="8">
        <f t="shared" si="10"/>
        <v>527.20273674969508</v>
      </c>
      <c r="O141" s="8">
        <f t="shared" si="13"/>
        <v>589.55326253418048</v>
      </c>
      <c r="P141" s="8">
        <f t="shared" si="14"/>
        <v>679.48950493832422</v>
      </c>
      <c r="T141" s="8">
        <f t="shared" si="11"/>
        <v>662.25074574635528</v>
      </c>
      <c r="U141" s="8">
        <f t="shared" si="12"/>
        <v>662.25373470392231</v>
      </c>
      <c r="X141" s="11">
        <v>22129</v>
      </c>
      <c r="Y141" s="9">
        <v>606</v>
      </c>
      <c r="Z141" s="9">
        <f t="shared" si="7"/>
        <v>606.63558737288531</v>
      </c>
      <c r="AA141" s="9"/>
    </row>
    <row r="142" spans="1:27" x14ac:dyDescent="0.3">
      <c r="A142" s="4">
        <v>22160</v>
      </c>
      <c r="B142" s="5">
        <v>508</v>
      </c>
      <c r="D142" s="8">
        <v>1</v>
      </c>
      <c r="E142" s="8">
        <f t="shared" si="10"/>
        <v>508</v>
      </c>
      <c r="F142" s="8">
        <f t="shared" si="10"/>
        <v>461</v>
      </c>
      <c r="G142" s="8">
        <f t="shared" si="10"/>
        <v>390</v>
      </c>
      <c r="H142" s="8">
        <f t="shared" si="10"/>
        <v>424.20853314225451</v>
      </c>
      <c r="I142" s="8">
        <f t="shared" si="10"/>
        <v>461.70175755892024</v>
      </c>
      <c r="J142" s="8">
        <f t="shared" si="10"/>
        <v>429.72024142981525</v>
      </c>
      <c r="K142" s="8">
        <f t="shared" si="10"/>
        <v>454.82721838357691</v>
      </c>
      <c r="L142" s="8">
        <f t="shared" si="10"/>
        <v>491.66889662011283</v>
      </c>
      <c r="M142" s="8">
        <f t="shared" si="10"/>
        <v>527.20273674969508</v>
      </c>
      <c r="N142" s="8">
        <f t="shared" si="10"/>
        <v>589.55326253418048</v>
      </c>
      <c r="O142" s="8">
        <f t="shared" si="13"/>
        <v>679.48950493832422</v>
      </c>
      <c r="P142" s="8">
        <f t="shared" si="14"/>
        <v>662.25373470392231</v>
      </c>
      <c r="T142" s="8">
        <f t="shared" si="11"/>
        <v>574.99468206545203</v>
      </c>
      <c r="U142" s="8">
        <f t="shared" si="12"/>
        <v>574.99572541139264</v>
      </c>
      <c r="X142" s="11">
        <v>22160</v>
      </c>
      <c r="Y142" s="9">
        <v>508</v>
      </c>
      <c r="Z142" s="9">
        <f t="shared" si="7"/>
        <v>528.9300622953001</v>
      </c>
      <c r="AA142" s="9"/>
    </row>
    <row r="143" spans="1:27" x14ac:dyDescent="0.3">
      <c r="A143" s="4">
        <v>22190</v>
      </c>
      <c r="B143" s="5">
        <v>461</v>
      </c>
      <c r="D143" s="8">
        <v>1</v>
      </c>
      <c r="E143" s="8">
        <f t="shared" si="10"/>
        <v>461</v>
      </c>
      <c r="F143" s="8">
        <f t="shared" si="10"/>
        <v>390</v>
      </c>
      <c r="G143" s="8">
        <f t="shared" si="10"/>
        <v>424.20853314225451</v>
      </c>
      <c r="H143" s="8">
        <f t="shared" si="10"/>
        <v>461.70175755892024</v>
      </c>
      <c r="I143" s="8">
        <f t="shared" si="10"/>
        <v>429.72024142981525</v>
      </c>
      <c r="J143" s="8">
        <f t="shared" si="10"/>
        <v>454.82721838357691</v>
      </c>
      <c r="K143" s="8">
        <f t="shared" si="10"/>
        <v>491.66889662011283</v>
      </c>
      <c r="L143" s="8">
        <f t="shared" si="10"/>
        <v>527.20273674969508</v>
      </c>
      <c r="M143" s="8">
        <f t="shared" si="10"/>
        <v>589.55326253418048</v>
      </c>
      <c r="N143" s="8">
        <f t="shared" si="10"/>
        <v>679.48950493832422</v>
      </c>
      <c r="O143" s="8">
        <f t="shared" si="13"/>
        <v>662.25373470392231</v>
      </c>
      <c r="P143" s="8">
        <f t="shared" si="14"/>
        <v>574.99572541139264</v>
      </c>
      <c r="T143" s="8">
        <f t="shared" si="11"/>
        <v>509.54965605876089</v>
      </c>
      <c r="U143" s="8">
        <f t="shared" si="12"/>
        <v>509.54995943390679</v>
      </c>
      <c r="X143" s="11">
        <v>22190</v>
      </c>
      <c r="Y143" s="9">
        <v>461</v>
      </c>
      <c r="Z143" s="9">
        <f t="shared" ref="Z143:Z145" si="15">U131</f>
        <v>443.2368814976287</v>
      </c>
      <c r="AA143" s="9"/>
    </row>
    <row r="144" spans="1:27" x14ac:dyDescent="0.3">
      <c r="A144" s="4">
        <v>22221</v>
      </c>
      <c r="B144" s="5">
        <v>390</v>
      </c>
      <c r="D144" s="8">
        <v>1</v>
      </c>
      <c r="E144" s="8">
        <f t="shared" si="10"/>
        <v>390</v>
      </c>
      <c r="F144" s="8">
        <f t="shared" si="10"/>
        <v>424.20853314225451</v>
      </c>
      <c r="G144" s="8">
        <f t="shared" si="10"/>
        <v>461.70175755892024</v>
      </c>
      <c r="H144" s="8">
        <f t="shared" si="10"/>
        <v>429.72024142981525</v>
      </c>
      <c r="I144" s="8">
        <f t="shared" si="10"/>
        <v>454.82721838357691</v>
      </c>
      <c r="J144" s="8">
        <f t="shared" si="10"/>
        <v>491.66889662011283</v>
      </c>
      <c r="K144" s="8">
        <f t="shared" si="10"/>
        <v>527.20273674969508</v>
      </c>
      <c r="L144" s="8">
        <f t="shared" si="10"/>
        <v>589.55326253418048</v>
      </c>
      <c r="M144" s="8">
        <f t="shared" si="10"/>
        <v>679.48950493832422</v>
      </c>
      <c r="N144" s="8">
        <f t="shared" si="10"/>
        <v>662.25373470392231</v>
      </c>
      <c r="O144" s="8">
        <f t="shared" si="13"/>
        <v>574.99572541139264</v>
      </c>
      <c r="P144" s="8">
        <f t="shared" si="14"/>
        <v>509.54995943390679</v>
      </c>
      <c r="T144" s="8">
        <f t="shared" si="11"/>
        <v>437.8200850498522</v>
      </c>
      <c r="U144" s="8">
        <f t="shared" si="12"/>
        <v>437.81920815570072</v>
      </c>
      <c r="X144" s="11">
        <v>22221</v>
      </c>
      <c r="Y144" s="9">
        <v>390</v>
      </c>
      <c r="Z144" s="9">
        <f t="shared" si="15"/>
        <v>415.48716283300337</v>
      </c>
      <c r="AA144" s="9"/>
    </row>
    <row r="145" spans="1:27" x14ac:dyDescent="0.3">
      <c r="A145" s="4">
        <v>22251</v>
      </c>
      <c r="B145" s="5">
        <v>432</v>
      </c>
      <c r="D145" s="8">
        <v>1</v>
      </c>
      <c r="E145" s="8">
        <f t="shared" si="10"/>
        <v>424.20853314225451</v>
      </c>
      <c r="F145" s="8">
        <f t="shared" si="10"/>
        <v>461.70175755892024</v>
      </c>
      <c r="G145" s="8">
        <f t="shared" si="10"/>
        <v>429.72024142981525</v>
      </c>
      <c r="H145" s="8">
        <f t="shared" si="10"/>
        <v>454.82721838357691</v>
      </c>
      <c r="I145" s="8">
        <f t="shared" si="10"/>
        <v>491.66889662011283</v>
      </c>
      <c r="J145" s="8">
        <f t="shared" si="10"/>
        <v>527.20273674969508</v>
      </c>
      <c r="K145" s="8">
        <f t="shared" si="10"/>
        <v>589.55326253418048</v>
      </c>
      <c r="L145" s="8">
        <f t="shared" si="10"/>
        <v>679.48950493832422</v>
      </c>
      <c r="M145" s="8">
        <f t="shared" si="10"/>
        <v>662.25373470392231</v>
      </c>
      <c r="N145" s="8">
        <f t="shared" si="10"/>
        <v>574.99572541139264</v>
      </c>
      <c r="O145" s="8">
        <f t="shared" si="13"/>
        <v>509.54995943390679</v>
      </c>
      <c r="P145" s="8">
        <f t="shared" si="14"/>
        <v>437.81920815570072</v>
      </c>
      <c r="T145" s="8">
        <f t="shared" si="11"/>
        <v>463.59779837248095</v>
      </c>
      <c r="U145" s="8">
        <f t="shared" si="12"/>
        <v>463.59712614828857</v>
      </c>
      <c r="X145" s="11">
        <v>22251</v>
      </c>
      <c r="Y145" s="9">
        <v>432</v>
      </c>
      <c r="Z145" s="9">
        <f t="shared" si="15"/>
        <v>424.20853314225451</v>
      </c>
      <c r="AA145" s="9"/>
    </row>
    <row r="146" spans="1:27" x14ac:dyDescent="0.3">
      <c r="D146" s="8">
        <v>1</v>
      </c>
      <c r="E146" s="8">
        <f t="shared" si="10"/>
        <v>461.70175755892024</v>
      </c>
      <c r="F146" s="8">
        <f t="shared" si="10"/>
        <v>429.72024142981525</v>
      </c>
      <c r="G146" s="8">
        <f t="shared" si="10"/>
        <v>454.82721838357691</v>
      </c>
      <c r="H146" s="8">
        <f t="shared" si="10"/>
        <v>491.66889662011283</v>
      </c>
      <c r="I146" s="8">
        <f t="shared" si="10"/>
        <v>527.20273674969508</v>
      </c>
      <c r="J146" s="8">
        <f t="shared" si="10"/>
        <v>589.55326253418048</v>
      </c>
      <c r="K146" s="8">
        <f t="shared" si="10"/>
        <v>679.48950493832422</v>
      </c>
      <c r="L146" s="8">
        <f t="shared" si="10"/>
        <v>662.25373470392231</v>
      </c>
      <c r="M146" s="8">
        <f t="shared" si="10"/>
        <v>574.99572541139264</v>
      </c>
      <c r="N146" s="8">
        <f t="shared" si="10"/>
        <v>509.54995943390679</v>
      </c>
      <c r="O146" s="8">
        <f t="shared" si="13"/>
        <v>437.81920815570072</v>
      </c>
      <c r="P146" s="8">
        <f t="shared" ref="P146:P169" si="16">U145</f>
        <v>463.59712614828857</v>
      </c>
      <c r="T146" s="8">
        <f t="shared" ref="T146:T169" si="17">SUMPRODUCT(D146:P146,$D$173:$P$173)</f>
        <v>497.07520402956527</v>
      </c>
      <c r="U146" s="8">
        <f t="shared" ref="U146:U169" si="18">SUMPRODUCT(D146:P146,$D$174:$P$174)</f>
        <v>497.07723594165066</v>
      </c>
      <c r="X146" s="4">
        <v>22282</v>
      </c>
      <c r="Y146" s="5"/>
      <c r="Z146" s="5"/>
      <c r="AA146" s="5">
        <f>U134</f>
        <v>461.70175755892024</v>
      </c>
    </row>
    <row r="147" spans="1:27" x14ac:dyDescent="0.3">
      <c r="D147" s="8">
        <v>1</v>
      </c>
      <c r="E147" s="8">
        <f t="shared" si="10"/>
        <v>429.72024142981525</v>
      </c>
      <c r="F147" s="8">
        <f t="shared" si="10"/>
        <v>454.82721838357691</v>
      </c>
      <c r="G147" s="8">
        <f t="shared" si="10"/>
        <v>491.66889662011283</v>
      </c>
      <c r="H147" s="8">
        <f t="shared" si="10"/>
        <v>527.20273674969508</v>
      </c>
      <c r="I147" s="8">
        <f t="shared" si="10"/>
        <v>589.55326253418048</v>
      </c>
      <c r="J147" s="8">
        <f t="shared" si="10"/>
        <v>679.48950493832422</v>
      </c>
      <c r="K147" s="8">
        <f t="shared" si="10"/>
        <v>662.25373470392231</v>
      </c>
      <c r="L147" s="8">
        <f t="shared" si="10"/>
        <v>574.99572541139264</v>
      </c>
      <c r="M147" s="8">
        <f t="shared" si="10"/>
        <v>509.54995943390679</v>
      </c>
      <c r="N147" s="8">
        <f t="shared" si="10"/>
        <v>437.81920815570072</v>
      </c>
      <c r="O147" s="8">
        <f t="shared" si="13"/>
        <v>463.59712614828857</v>
      </c>
      <c r="P147" s="8">
        <f t="shared" si="16"/>
        <v>497.07723594165066</v>
      </c>
      <c r="T147" s="8">
        <f t="shared" si="17"/>
        <v>476.4616780877401</v>
      </c>
      <c r="U147" s="8">
        <f t="shared" si="18"/>
        <v>476.46193842372088</v>
      </c>
      <c r="X147" s="4">
        <v>22313</v>
      </c>
      <c r="Y147" s="5"/>
      <c r="Z147" s="5"/>
      <c r="AA147" s="5">
        <f t="shared" ref="AA147:AA181" si="19">U135</f>
        <v>429.72024142981525</v>
      </c>
    </row>
    <row r="148" spans="1:27" x14ac:dyDescent="0.3">
      <c r="D148" s="8">
        <v>1</v>
      </c>
      <c r="E148" s="8">
        <f t="shared" si="10"/>
        <v>454.82721838357691</v>
      </c>
      <c r="F148" s="8">
        <f t="shared" si="10"/>
        <v>491.66889662011283</v>
      </c>
      <c r="G148" s="8">
        <f t="shared" si="10"/>
        <v>527.20273674969508</v>
      </c>
      <c r="H148" s="8">
        <f t="shared" si="10"/>
        <v>589.55326253418048</v>
      </c>
      <c r="I148" s="8">
        <f t="shared" si="10"/>
        <v>679.48950493832422</v>
      </c>
      <c r="J148" s="8">
        <f t="shared" si="10"/>
        <v>662.25373470392231</v>
      </c>
      <c r="K148" s="8">
        <f t="shared" si="10"/>
        <v>574.99572541139264</v>
      </c>
      <c r="L148" s="8">
        <f t="shared" si="10"/>
        <v>509.54995943390679</v>
      </c>
      <c r="M148" s="8">
        <f t="shared" si="10"/>
        <v>437.81920815570072</v>
      </c>
      <c r="N148" s="8">
        <f t="shared" si="10"/>
        <v>463.59712614828857</v>
      </c>
      <c r="O148" s="8">
        <f t="shared" si="13"/>
        <v>497.07723594165066</v>
      </c>
      <c r="P148" s="8">
        <f t="shared" si="16"/>
        <v>476.46193842372088</v>
      </c>
      <c r="T148" s="8">
        <f t="shared" si="17"/>
        <v>488.97374827564875</v>
      </c>
      <c r="U148" s="8">
        <f t="shared" si="18"/>
        <v>488.97306147767495</v>
      </c>
      <c r="X148" s="4">
        <v>22341</v>
      </c>
      <c r="Y148" s="5"/>
      <c r="Z148" s="5"/>
      <c r="AA148" s="5">
        <f t="shared" si="19"/>
        <v>454.82721838357691</v>
      </c>
    </row>
    <row r="149" spans="1:27" x14ac:dyDescent="0.3">
      <c r="D149" s="8">
        <v>1</v>
      </c>
      <c r="E149" s="8">
        <f t="shared" si="10"/>
        <v>491.66889662011283</v>
      </c>
      <c r="F149" s="8">
        <f t="shared" si="10"/>
        <v>527.20273674969508</v>
      </c>
      <c r="G149" s="8">
        <f t="shared" si="10"/>
        <v>589.55326253418048</v>
      </c>
      <c r="H149" s="8">
        <f t="shared" si="10"/>
        <v>679.48950493832422</v>
      </c>
      <c r="I149" s="8">
        <f t="shared" si="10"/>
        <v>662.25373470392231</v>
      </c>
      <c r="J149" s="8">
        <f t="shared" si="10"/>
        <v>574.99572541139264</v>
      </c>
      <c r="K149" s="8">
        <f t="shared" si="10"/>
        <v>509.54995943390679</v>
      </c>
      <c r="L149" s="8">
        <f t="shared" si="10"/>
        <v>437.81920815570072</v>
      </c>
      <c r="M149" s="8">
        <f t="shared" si="10"/>
        <v>463.59712614828857</v>
      </c>
      <c r="N149" s="8">
        <f t="shared" si="10"/>
        <v>497.07723594165066</v>
      </c>
      <c r="O149" s="8">
        <f t="shared" si="13"/>
        <v>476.46193842372088</v>
      </c>
      <c r="P149" s="8">
        <f t="shared" si="16"/>
        <v>488.97306147767495</v>
      </c>
      <c r="T149" s="8">
        <f t="shared" si="17"/>
        <v>529.54148480573235</v>
      </c>
      <c r="U149" s="8">
        <f t="shared" si="18"/>
        <v>529.54227239072429</v>
      </c>
      <c r="X149" s="4">
        <v>22372</v>
      </c>
      <c r="Y149" s="5"/>
      <c r="Z149" s="5"/>
      <c r="AA149" s="5">
        <f t="shared" si="19"/>
        <v>491.66889662011283</v>
      </c>
    </row>
    <row r="150" spans="1:27" x14ac:dyDescent="0.3">
      <c r="D150" s="8">
        <v>1</v>
      </c>
      <c r="E150" s="8">
        <f t="shared" ref="E150:N169" si="20">F149</f>
        <v>527.20273674969508</v>
      </c>
      <c r="F150" s="8">
        <f t="shared" si="20"/>
        <v>589.55326253418048</v>
      </c>
      <c r="G150" s="8">
        <f t="shared" si="20"/>
        <v>679.48950493832422</v>
      </c>
      <c r="H150" s="8">
        <f t="shared" si="20"/>
        <v>662.25373470392231</v>
      </c>
      <c r="I150" s="8">
        <f t="shared" si="20"/>
        <v>574.99572541139264</v>
      </c>
      <c r="J150" s="8">
        <f t="shared" si="20"/>
        <v>509.54995943390679</v>
      </c>
      <c r="K150" s="8">
        <f t="shared" si="20"/>
        <v>437.81920815570072</v>
      </c>
      <c r="L150" s="8">
        <f t="shared" si="20"/>
        <v>463.59712614828857</v>
      </c>
      <c r="M150" s="8">
        <f t="shared" si="20"/>
        <v>497.07723594165066</v>
      </c>
      <c r="N150" s="8">
        <f t="shared" si="20"/>
        <v>476.46193842372088</v>
      </c>
      <c r="O150" s="8">
        <f t="shared" si="13"/>
        <v>488.97306147767495</v>
      </c>
      <c r="P150" s="8">
        <f t="shared" si="16"/>
        <v>529.54227239072429</v>
      </c>
      <c r="T150" s="8">
        <f t="shared" si="17"/>
        <v>578.94730017905658</v>
      </c>
      <c r="U150" s="8">
        <f t="shared" si="18"/>
        <v>578.94829685644345</v>
      </c>
      <c r="X150" s="4">
        <v>22402</v>
      </c>
      <c r="Y150" s="5"/>
      <c r="Z150" s="5"/>
      <c r="AA150" s="5">
        <f t="shared" si="19"/>
        <v>527.20273674969508</v>
      </c>
    </row>
    <row r="151" spans="1:27" x14ac:dyDescent="0.3">
      <c r="D151" s="8">
        <v>1</v>
      </c>
      <c r="E151" s="8">
        <f t="shared" si="20"/>
        <v>589.55326253418048</v>
      </c>
      <c r="F151" s="8">
        <f t="shared" si="20"/>
        <v>679.48950493832422</v>
      </c>
      <c r="G151" s="8">
        <f t="shared" si="20"/>
        <v>662.25373470392231</v>
      </c>
      <c r="H151" s="8">
        <f t="shared" si="20"/>
        <v>574.99572541139264</v>
      </c>
      <c r="I151" s="8">
        <f t="shared" si="20"/>
        <v>509.54995943390679</v>
      </c>
      <c r="J151" s="8">
        <f t="shared" si="20"/>
        <v>437.81920815570072</v>
      </c>
      <c r="K151" s="8">
        <f t="shared" si="20"/>
        <v>463.59712614828857</v>
      </c>
      <c r="L151" s="8">
        <f t="shared" si="20"/>
        <v>497.07723594165066</v>
      </c>
      <c r="M151" s="8">
        <f t="shared" si="20"/>
        <v>476.46193842372088</v>
      </c>
      <c r="N151" s="8">
        <f t="shared" si="20"/>
        <v>488.97306147767495</v>
      </c>
      <c r="O151" s="8">
        <f t="shared" si="13"/>
        <v>529.54227239072429</v>
      </c>
      <c r="P151" s="8">
        <f t="shared" si="16"/>
        <v>578.94829685644345</v>
      </c>
      <c r="T151" s="8">
        <f t="shared" si="17"/>
        <v>650.95533679649725</v>
      </c>
      <c r="U151" s="8">
        <f t="shared" si="18"/>
        <v>650.95547744192709</v>
      </c>
      <c r="X151" s="4">
        <v>22433</v>
      </c>
      <c r="Y151" s="5"/>
      <c r="Z151" s="5"/>
      <c r="AA151" s="5">
        <f t="shared" si="19"/>
        <v>589.55326253418048</v>
      </c>
    </row>
    <row r="152" spans="1:27" x14ac:dyDescent="0.3">
      <c r="D152" s="8">
        <v>1</v>
      </c>
      <c r="E152" s="8">
        <f t="shared" si="20"/>
        <v>679.48950493832422</v>
      </c>
      <c r="F152" s="8">
        <f t="shared" si="20"/>
        <v>662.25373470392231</v>
      </c>
      <c r="G152" s="8">
        <f t="shared" si="20"/>
        <v>574.99572541139264</v>
      </c>
      <c r="H152" s="8">
        <f t="shared" si="20"/>
        <v>509.54995943390679</v>
      </c>
      <c r="I152" s="8">
        <f t="shared" si="20"/>
        <v>437.81920815570072</v>
      </c>
      <c r="J152" s="8">
        <f t="shared" si="20"/>
        <v>463.59712614828857</v>
      </c>
      <c r="K152" s="8">
        <f t="shared" si="20"/>
        <v>497.07723594165066</v>
      </c>
      <c r="L152" s="8">
        <f t="shared" si="20"/>
        <v>476.46193842372088</v>
      </c>
      <c r="M152" s="8">
        <f t="shared" si="20"/>
        <v>488.97306147767495</v>
      </c>
      <c r="N152" s="8">
        <f t="shared" si="20"/>
        <v>529.54227239072429</v>
      </c>
      <c r="O152" s="8">
        <f t="shared" si="13"/>
        <v>578.94829685644345</v>
      </c>
      <c r="P152" s="8">
        <f t="shared" si="16"/>
        <v>650.95547744192709</v>
      </c>
      <c r="T152" s="8">
        <f t="shared" si="17"/>
        <v>740.51968550147944</v>
      </c>
      <c r="U152" s="8">
        <f t="shared" si="18"/>
        <v>740.52088181809302</v>
      </c>
      <c r="X152" s="4">
        <v>22463</v>
      </c>
      <c r="Y152" s="5"/>
      <c r="Z152" s="5"/>
      <c r="AA152" s="5">
        <f t="shared" si="19"/>
        <v>679.48950493832422</v>
      </c>
    </row>
    <row r="153" spans="1:27" x14ac:dyDescent="0.3">
      <c r="D153" s="8">
        <v>1</v>
      </c>
      <c r="E153" s="8">
        <f t="shared" si="20"/>
        <v>662.25373470392231</v>
      </c>
      <c r="F153" s="8">
        <f t="shared" si="20"/>
        <v>574.99572541139264</v>
      </c>
      <c r="G153" s="8">
        <f t="shared" si="20"/>
        <v>509.54995943390679</v>
      </c>
      <c r="H153" s="8">
        <f t="shared" si="20"/>
        <v>437.81920815570072</v>
      </c>
      <c r="I153" s="8">
        <f t="shared" si="20"/>
        <v>463.59712614828857</v>
      </c>
      <c r="J153" s="8">
        <f t="shared" si="20"/>
        <v>497.07723594165066</v>
      </c>
      <c r="K153" s="8">
        <f t="shared" si="20"/>
        <v>476.46193842372088</v>
      </c>
      <c r="L153" s="8">
        <f t="shared" si="20"/>
        <v>488.97306147767495</v>
      </c>
      <c r="M153" s="8">
        <f t="shared" si="20"/>
        <v>529.54227239072429</v>
      </c>
      <c r="N153" s="8">
        <f t="shared" si="20"/>
        <v>578.94829685644345</v>
      </c>
      <c r="O153" s="8">
        <f t="shared" si="13"/>
        <v>650.95547744192709</v>
      </c>
      <c r="P153" s="8">
        <f t="shared" si="16"/>
        <v>740.52088181809302</v>
      </c>
      <c r="T153" s="8">
        <f t="shared" si="17"/>
        <v>725.85801704801065</v>
      </c>
      <c r="U153" s="8">
        <f t="shared" si="18"/>
        <v>725.86076250631015</v>
      </c>
      <c r="X153" s="4">
        <v>22494</v>
      </c>
      <c r="Y153" s="5"/>
      <c r="Z153" s="5"/>
      <c r="AA153" s="5">
        <f t="shared" si="19"/>
        <v>662.25373470392231</v>
      </c>
    </row>
    <row r="154" spans="1:27" x14ac:dyDescent="0.3">
      <c r="D154" s="8">
        <v>1</v>
      </c>
      <c r="E154" s="8">
        <f t="shared" si="20"/>
        <v>574.99572541139264</v>
      </c>
      <c r="F154" s="8">
        <f t="shared" si="20"/>
        <v>509.54995943390679</v>
      </c>
      <c r="G154" s="8">
        <f t="shared" si="20"/>
        <v>437.81920815570072</v>
      </c>
      <c r="H154" s="8">
        <f t="shared" si="20"/>
        <v>463.59712614828857</v>
      </c>
      <c r="I154" s="8">
        <f t="shared" si="20"/>
        <v>497.07723594165066</v>
      </c>
      <c r="J154" s="8">
        <f t="shared" si="20"/>
        <v>476.46193842372088</v>
      </c>
      <c r="K154" s="8">
        <f t="shared" si="20"/>
        <v>488.97306147767495</v>
      </c>
      <c r="L154" s="8">
        <f t="shared" si="20"/>
        <v>529.54227239072429</v>
      </c>
      <c r="M154" s="8">
        <f t="shared" si="20"/>
        <v>578.94829685644345</v>
      </c>
      <c r="N154" s="8">
        <f t="shared" si="20"/>
        <v>650.95547744192709</v>
      </c>
      <c r="O154" s="8">
        <f t="shared" si="13"/>
        <v>740.52088181809302</v>
      </c>
      <c r="P154" s="8">
        <f t="shared" si="16"/>
        <v>725.86076250631015</v>
      </c>
      <c r="T154" s="8">
        <f t="shared" si="17"/>
        <v>643.76403727862112</v>
      </c>
      <c r="U154" s="8">
        <f t="shared" si="18"/>
        <v>643.76538867412967</v>
      </c>
      <c r="X154" s="4">
        <v>22525</v>
      </c>
      <c r="Y154" s="5"/>
      <c r="Z154" s="5"/>
      <c r="AA154" s="5">
        <f t="shared" si="19"/>
        <v>574.99572541139264</v>
      </c>
    </row>
    <row r="155" spans="1:27" x14ac:dyDescent="0.3">
      <c r="D155" s="8">
        <v>1</v>
      </c>
      <c r="E155" s="8">
        <f t="shared" si="20"/>
        <v>509.54995943390679</v>
      </c>
      <c r="F155" s="8">
        <f t="shared" si="20"/>
        <v>437.81920815570072</v>
      </c>
      <c r="G155" s="8">
        <f t="shared" si="20"/>
        <v>463.59712614828857</v>
      </c>
      <c r="H155" s="8">
        <f t="shared" si="20"/>
        <v>497.07723594165066</v>
      </c>
      <c r="I155" s="8">
        <f t="shared" si="20"/>
        <v>476.46193842372088</v>
      </c>
      <c r="J155" s="8">
        <f t="shared" si="20"/>
        <v>488.97306147767495</v>
      </c>
      <c r="K155" s="8">
        <f t="shared" si="20"/>
        <v>529.54227239072429</v>
      </c>
      <c r="L155" s="8">
        <f t="shared" si="20"/>
        <v>578.94829685644345</v>
      </c>
      <c r="M155" s="8">
        <f t="shared" si="20"/>
        <v>650.95547744192709</v>
      </c>
      <c r="N155" s="8">
        <f t="shared" si="20"/>
        <v>740.52088181809302</v>
      </c>
      <c r="O155" s="8">
        <f t="shared" si="13"/>
        <v>725.86076250631015</v>
      </c>
      <c r="P155" s="8">
        <f t="shared" si="16"/>
        <v>643.76538867412967</v>
      </c>
      <c r="T155" s="8">
        <f t="shared" si="17"/>
        <v>564.42711293410844</v>
      </c>
      <c r="U155" s="8">
        <f t="shared" si="18"/>
        <v>564.42775243324763</v>
      </c>
      <c r="X155" s="4">
        <v>22555</v>
      </c>
      <c r="Y155" s="5"/>
      <c r="Z155" s="5"/>
      <c r="AA155" s="5">
        <f t="shared" si="19"/>
        <v>509.54995943390679</v>
      </c>
    </row>
    <row r="156" spans="1:27" x14ac:dyDescent="0.3">
      <c r="D156" s="8">
        <v>1</v>
      </c>
      <c r="E156" s="8">
        <f t="shared" si="20"/>
        <v>437.81920815570072</v>
      </c>
      <c r="F156" s="8">
        <f t="shared" si="20"/>
        <v>463.59712614828857</v>
      </c>
      <c r="G156" s="8">
        <f t="shared" si="20"/>
        <v>497.07723594165066</v>
      </c>
      <c r="H156" s="8">
        <f t="shared" si="20"/>
        <v>476.46193842372088</v>
      </c>
      <c r="I156" s="8">
        <f t="shared" si="20"/>
        <v>488.97306147767495</v>
      </c>
      <c r="J156" s="8">
        <f t="shared" si="20"/>
        <v>529.54227239072429</v>
      </c>
      <c r="K156" s="8">
        <f t="shared" si="20"/>
        <v>578.94829685644345</v>
      </c>
      <c r="L156" s="8">
        <f t="shared" si="20"/>
        <v>650.95547744192709</v>
      </c>
      <c r="M156" s="8">
        <f t="shared" si="20"/>
        <v>740.52088181809302</v>
      </c>
      <c r="N156" s="8">
        <f t="shared" si="20"/>
        <v>725.86076250631015</v>
      </c>
      <c r="O156" s="8">
        <f t="shared" si="13"/>
        <v>643.76538867412967</v>
      </c>
      <c r="P156" s="8">
        <f t="shared" si="16"/>
        <v>564.42775243324763</v>
      </c>
      <c r="T156" s="8">
        <f t="shared" si="17"/>
        <v>490.33001260748057</v>
      </c>
      <c r="U156" s="8">
        <f t="shared" si="18"/>
        <v>490.32922900766368</v>
      </c>
      <c r="X156" s="4">
        <v>22586</v>
      </c>
      <c r="Y156" s="5"/>
      <c r="Z156" s="5"/>
      <c r="AA156" s="5">
        <f t="shared" si="19"/>
        <v>437.81920815570072</v>
      </c>
    </row>
    <row r="157" spans="1:27" x14ac:dyDescent="0.3">
      <c r="D157" s="8">
        <v>1</v>
      </c>
      <c r="E157" s="8">
        <f t="shared" si="20"/>
        <v>463.59712614828857</v>
      </c>
      <c r="F157" s="8">
        <f t="shared" si="20"/>
        <v>497.07723594165066</v>
      </c>
      <c r="G157" s="8">
        <f t="shared" si="20"/>
        <v>476.46193842372088</v>
      </c>
      <c r="H157" s="8">
        <f t="shared" si="20"/>
        <v>488.97306147767495</v>
      </c>
      <c r="I157" s="8">
        <f t="shared" si="20"/>
        <v>529.54227239072429</v>
      </c>
      <c r="J157" s="8">
        <f t="shared" si="20"/>
        <v>578.94829685644345</v>
      </c>
      <c r="K157" s="8">
        <f t="shared" si="20"/>
        <v>650.95547744192709</v>
      </c>
      <c r="L157" s="8">
        <f t="shared" si="20"/>
        <v>740.52088181809302</v>
      </c>
      <c r="M157" s="8">
        <f t="shared" si="20"/>
        <v>725.86076250631015</v>
      </c>
      <c r="N157" s="8">
        <f t="shared" si="20"/>
        <v>643.76538867412967</v>
      </c>
      <c r="O157" s="8">
        <f t="shared" si="13"/>
        <v>564.42775243324763</v>
      </c>
      <c r="P157" s="8">
        <f t="shared" si="16"/>
        <v>490.32922900766368</v>
      </c>
      <c r="T157" s="8">
        <f t="shared" si="17"/>
        <v>505.92487207246381</v>
      </c>
      <c r="U157" s="8">
        <f t="shared" si="18"/>
        <v>505.92427202212355</v>
      </c>
      <c r="X157" s="4">
        <v>22616</v>
      </c>
      <c r="Y157" s="5"/>
      <c r="Z157" s="5"/>
      <c r="AA157" s="5">
        <f t="shared" si="19"/>
        <v>463.59712614828857</v>
      </c>
    </row>
    <row r="158" spans="1:27" x14ac:dyDescent="0.3">
      <c r="D158" s="8">
        <v>1</v>
      </c>
      <c r="E158" s="8">
        <f t="shared" si="20"/>
        <v>497.07723594165066</v>
      </c>
      <c r="F158" s="8">
        <f t="shared" si="20"/>
        <v>476.46193842372088</v>
      </c>
      <c r="G158" s="8">
        <f t="shared" si="20"/>
        <v>488.97306147767495</v>
      </c>
      <c r="H158" s="8">
        <f t="shared" si="20"/>
        <v>529.54227239072429</v>
      </c>
      <c r="I158" s="8">
        <f t="shared" si="20"/>
        <v>578.94829685644345</v>
      </c>
      <c r="J158" s="8">
        <f t="shared" si="20"/>
        <v>650.95547744192709</v>
      </c>
      <c r="K158" s="8">
        <f t="shared" si="20"/>
        <v>740.52088181809302</v>
      </c>
      <c r="L158" s="8">
        <f t="shared" si="20"/>
        <v>725.86076250631015</v>
      </c>
      <c r="M158" s="8">
        <f t="shared" si="20"/>
        <v>643.76538867412967</v>
      </c>
      <c r="N158" s="8">
        <f t="shared" si="20"/>
        <v>564.42775243324763</v>
      </c>
      <c r="O158" s="8">
        <f t="shared" si="13"/>
        <v>490.32922900766368</v>
      </c>
      <c r="P158" s="8">
        <f t="shared" si="16"/>
        <v>505.92427202212355</v>
      </c>
      <c r="T158" s="8">
        <f t="shared" si="17"/>
        <v>535.77317932715539</v>
      </c>
      <c r="U158" s="8">
        <f t="shared" si="18"/>
        <v>535.77489686334422</v>
      </c>
      <c r="X158" s="4">
        <v>22647</v>
      </c>
      <c r="Y158" s="5"/>
      <c r="Z158" s="5"/>
      <c r="AA158" s="5">
        <f t="shared" si="19"/>
        <v>497.07723594165066</v>
      </c>
    </row>
    <row r="159" spans="1:27" x14ac:dyDescent="0.3">
      <c r="D159" s="8">
        <v>1</v>
      </c>
      <c r="E159" s="8">
        <f t="shared" si="20"/>
        <v>476.46193842372088</v>
      </c>
      <c r="F159" s="8">
        <f t="shared" si="20"/>
        <v>488.97306147767495</v>
      </c>
      <c r="G159" s="8">
        <f t="shared" si="20"/>
        <v>529.54227239072429</v>
      </c>
      <c r="H159" s="8">
        <f t="shared" si="20"/>
        <v>578.94829685644345</v>
      </c>
      <c r="I159" s="8">
        <f t="shared" si="20"/>
        <v>650.95547744192709</v>
      </c>
      <c r="J159" s="8">
        <f t="shared" si="20"/>
        <v>740.52088181809302</v>
      </c>
      <c r="K159" s="8">
        <f t="shared" si="20"/>
        <v>725.86076250631015</v>
      </c>
      <c r="L159" s="8">
        <f t="shared" si="20"/>
        <v>643.76538867412967</v>
      </c>
      <c r="M159" s="8">
        <f t="shared" si="20"/>
        <v>564.42775243324763</v>
      </c>
      <c r="N159" s="8">
        <f t="shared" si="20"/>
        <v>490.32922900766368</v>
      </c>
      <c r="O159" s="8">
        <f t="shared" si="13"/>
        <v>505.92427202212355</v>
      </c>
      <c r="P159" s="8">
        <f t="shared" si="16"/>
        <v>535.77489686334422</v>
      </c>
      <c r="T159" s="8">
        <f t="shared" si="17"/>
        <v>522.77007087418031</v>
      </c>
      <c r="U159" s="8">
        <f t="shared" si="18"/>
        <v>522.77072870507504</v>
      </c>
      <c r="X159" s="4">
        <v>22678</v>
      </c>
      <c r="Y159" s="5"/>
      <c r="Z159" s="5"/>
      <c r="AA159" s="5">
        <f t="shared" si="19"/>
        <v>476.46193842372088</v>
      </c>
    </row>
    <row r="160" spans="1:27" x14ac:dyDescent="0.3">
      <c r="D160" s="8">
        <v>1</v>
      </c>
      <c r="E160" s="8">
        <f t="shared" si="20"/>
        <v>488.97306147767495</v>
      </c>
      <c r="F160" s="8">
        <f t="shared" si="20"/>
        <v>529.54227239072429</v>
      </c>
      <c r="G160" s="8">
        <f t="shared" si="20"/>
        <v>578.94829685644345</v>
      </c>
      <c r="H160" s="8">
        <f t="shared" si="20"/>
        <v>650.95547744192709</v>
      </c>
      <c r="I160" s="8">
        <f t="shared" si="20"/>
        <v>740.52088181809302</v>
      </c>
      <c r="J160" s="8">
        <f t="shared" si="20"/>
        <v>725.86076250631015</v>
      </c>
      <c r="K160" s="8">
        <f t="shared" si="20"/>
        <v>643.76538867412967</v>
      </c>
      <c r="L160" s="8">
        <f t="shared" si="20"/>
        <v>564.42775243324763</v>
      </c>
      <c r="M160" s="8">
        <f t="shared" si="20"/>
        <v>490.32922900766368</v>
      </c>
      <c r="N160" s="8">
        <f t="shared" si="20"/>
        <v>505.92427202212355</v>
      </c>
      <c r="O160" s="8">
        <f t="shared" si="13"/>
        <v>535.77489686334422</v>
      </c>
      <c r="P160" s="8">
        <f t="shared" si="16"/>
        <v>522.77072870507504</v>
      </c>
      <c r="T160" s="8">
        <f t="shared" si="17"/>
        <v>527.12482704468994</v>
      </c>
      <c r="U160" s="8">
        <f t="shared" si="18"/>
        <v>527.12442776337798</v>
      </c>
      <c r="X160" s="4">
        <v>22706</v>
      </c>
      <c r="Y160" s="5"/>
      <c r="Z160" s="5"/>
      <c r="AA160" s="5">
        <f t="shared" si="19"/>
        <v>488.97306147767495</v>
      </c>
    </row>
    <row r="161" spans="4:27" x14ac:dyDescent="0.3">
      <c r="D161" s="8">
        <v>1</v>
      </c>
      <c r="E161" s="8">
        <f t="shared" si="20"/>
        <v>529.54227239072429</v>
      </c>
      <c r="F161" s="8">
        <f t="shared" si="20"/>
        <v>578.94829685644345</v>
      </c>
      <c r="G161" s="8">
        <f t="shared" si="20"/>
        <v>650.95547744192709</v>
      </c>
      <c r="H161" s="8">
        <f t="shared" si="20"/>
        <v>740.52088181809302</v>
      </c>
      <c r="I161" s="8">
        <f t="shared" si="20"/>
        <v>725.86076250631015</v>
      </c>
      <c r="J161" s="8">
        <f t="shared" si="20"/>
        <v>643.76538867412967</v>
      </c>
      <c r="K161" s="8">
        <f t="shared" si="20"/>
        <v>564.42775243324763</v>
      </c>
      <c r="L161" s="8">
        <f t="shared" si="20"/>
        <v>490.32922900766368</v>
      </c>
      <c r="M161" s="8">
        <f t="shared" si="20"/>
        <v>505.92427202212355</v>
      </c>
      <c r="N161" s="8">
        <f t="shared" si="20"/>
        <v>535.77489686334422</v>
      </c>
      <c r="O161" s="8">
        <f t="shared" si="13"/>
        <v>522.77072870507504</v>
      </c>
      <c r="P161" s="8">
        <f t="shared" si="16"/>
        <v>527.12442776337798</v>
      </c>
      <c r="T161" s="8">
        <f t="shared" si="17"/>
        <v>570.07737732390706</v>
      </c>
      <c r="U161" s="8">
        <f t="shared" si="18"/>
        <v>570.07783185191215</v>
      </c>
      <c r="X161" s="4">
        <v>22737</v>
      </c>
      <c r="Y161" s="5"/>
      <c r="Z161" s="5"/>
      <c r="AA161" s="5">
        <f t="shared" si="19"/>
        <v>529.54227239072429</v>
      </c>
    </row>
    <row r="162" spans="4:27" x14ac:dyDescent="0.3">
      <c r="D162" s="8">
        <v>1</v>
      </c>
      <c r="E162" s="8">
        <f t="shared" si="20"/>
        <v>578.94829685644345</v>
      </c>
      <c r="F162" s="8">
        <f t="shared" si="20"/>
        <v>650.95547744192709</v>
      </c>
      <c r="G162" s="8">
        <f t="shared" si="20"/>
        <v>740.52088181809302</v>
      </c>
      <c r="H162" s="8">
        <f t="shared" si="20"/>
        <v>725.86076250631015</v>
      </c>
      <c r="I162" s="8">
        <f t="shared" si="20"/>
        <v>643.76538867412967</v>
      </c>
      <c r="J162" s="8">
        <f t="shared" si="20"/>
        <v>564.42775243324763</v>
      </c>
      <c r="K162" s="8">
        <f t="shared" si="20"/>
        <v>490.32922900766368</v>
      </c>
      <c r="L162" s="8">
        <f t="shared" si="20"/>
        <v>505.92427202212355</v>
      </c>
      <c r="M162" s="8">
        <f t="shared" si="20"/>
        <v>535.77489686334422</v>
      </c>
      <c r="N162" s="8">
        <f t="shared" si="20"/>
        <v>522.77072870507504</v>
      </c>
      <c r="O162" s="8">
        <f t="shared" si="13"/>
        <v>527.12442776337798</v>
      </c>
      <c r="P162" s="8">
        <f t="shared" si="16"/>
        <v>570.07783185191215</v>
      </c>
      <c r="T162" s="8">
        <f t="shared" si="17"/>
        <v>631.61665078954729</v>
      </c>
      <c r="U162" s="8">
        <f t="shared" si="18"/>
        <v>631.61766025914335</v>
      </c>
      <c r="X162" s="4">
        <v>22767</v>
      </c>
      <c r="Y162" s="5"/>
      <c r="Z162" s="5"/>
      <c r="AA162" s="5">
        <f t="shared" si="19"/>
        <v>578.94829685644345</v>
      </c>
    </row>
    <row r="163" spans="4:27" x14ac:dyDescent="0.3">
      <c r="D163" s="8">
        <v>1</v>
      </c>
      <c r="E163" s="8">
        <f t="shared" si="20"/>
        <v>650.95547744192709</v>
      </c>
      <c r="F163" s="8">
        <f t="shared" si="20"/>
        <v>740.52088181809302</v>
      </c>
      <c r="G163" s="8">
        <f t="shared" si="20"/>
        <v>725.86076250631015</v>
      </c>
      <c r="H163" s="8">
        <f t="shared" si="20"/>
        <v>643.76538867412967</v>
      </c>
      <c r="I163" s="8">
        <f t="shared" si="20"/>
        <v>564.42775243324763</v>
      </c>
      <c r="J163" s="8">
        <f t="shared" si="20"/>
        <v>490.32922900766368</v>
      </c>
      <c r="K163" s="8">
        <f t="shared" si="20"/>
        <v>505.92427202212355</v>
      </c>
      <c r="L163" s="8">
        <f t="shared" si="20"/>
        <v>535.77489686334422</v>
      </c>
      <c r="M163" s="8">
        <f t="shared" si="20"/>
        <v>522.77072870507504</v>
      </c>
      <c r="N163" s="8">
        <f t="shared" si="20"/>
        <v>527.12442776337798</v>
      </c>
      <c r="O163" s="8">
        <f t="shared" si="13"/>
        <v>570.07783185191215</v>
      </c>
      <c r="P163" s="8">
        <f t="shared" si="16"/>
        <v>631.61766025914335</v>
      </c>
      <c r="T163" s="8">
        <f t="shared" si="17"/>
        <v>716.20675632719076</v>
      </c>
      <c r="U163" s="8">
        <f t="shared" si="18"/>
        <v>716.20727432441026</v>
      </c>
      <c r="X163" s="4">
        <v>22798</v>
      </c>
      <c r="Y163" s="5"/>
      <c r="Z163" s="5"/>
      <c r="AA163" s="5">
        <f t="shared" si="19"/>
        <v>650.95547744192709</v>
      </c>
    </row>
    <row r="164" spans="4:27" x14ac:dyDescent="0.3">
      <c r="D164" s="8">
        <v>1</v>
      </c>
      <c r="E164" s="8">
        <f t="shared" si="20"/>
        <v>740.52088181809302</v>
      </c>
      <c r="F164" s="8">
        <f t="shared" si="20"/>
        <v>725.86076250631015</v>
      </c>
      <c r="G164" s="8">
        <f t="shared" si="20"/>
        <v>643.76538867412967</v>
      </c>
      <c r="H164" s="8">
        <f t="shared" si="20"/>
        <v>564.42775243324763</v>
      </c>
      <c r="I164" s="8">
        <f t="shared" si="20"/>
        <v>490.32922900766368</v>
      </c>
      <c r="J164" s="8">
        <f t="shared" si="20"/>
        <v>505.92427202212355</v>
      </c>
      <c r="K164" s="8">
        <f t="shared" si="20"/>
        <v>535.77489686334422</v>
      </c>
      <c r="L164" s="8">
        <f t="shared" si="20"/>
        <v>522.77072870507504</v>
      </c>
      <c r="M164" s="8">
        <f t="shared" si="20"/>
        <v>527.12442776337798</v>
      </c>
      <c r="N164" s="8">
        <f t="shared" si="20"/>
        <v>570.07783185191215</v>
      </c>
      <c r="O164" s="8">
        <f t="shared" si="13"/>
        <v>631.61766025914335</v>
      </c>
      <c r="P164" s="8">
        <f t="shared" si="16"/>
        <v>716.20727432441026</v>
      </c>
      <c r="T164" s="8">
        <f t="shared" si="17"/>
        <v>806.99531144973207</v>
      </c>
      <c r="U164" s="8">
        <f t="shared" si="18"/>
        <v>806.99685531627324</v>
      </c>
      <c r="X164" s="4">
        <v>22828</v>
      </c>
      <c r="Y164" s="5"/>
      <c r="Z164" s="5"/>
      <c r="AA164" s="5">
        <f t="shared" si="19"/>
        <v>740.52088181809302</v>
      </c>
    </row>
    <row r="165" spans="4:27" x14ac:dyDescent="0.3">
      <c r="D165" s="8">
        <v>1</v>
      </c>
      <c r="E165" s="8">
        <f t="shared" si="20"/>
        <v>725.86076250631015</v>
      </c>
      <c r="F165" s="8">
        <f t="shared" si="20"/>
        <v>643.76538867412967</v>
      </c>
      <c r="G165" s="8">
        <f t="shared" si="20"/>
        <v>564.42775243324763</v>
      </c>
      <c r="H165" s="8">
        <f t="shared" si="20"/>
        <v>490.32922900766368</v>
      </c>
      <c r="I165" s="8">
        <f t="shared" si="20"/>
        <v>505.92427202212355</v>
      </c>
      <c r="J165" s="8">
        <f t="shared" si="20"/>
        <v>535.77489686334422</v>
      </c>
      <c r="K165" s="8">
        <f t="shared" si="20"/>
        <v>522.77072870507504</v>
      </c>
      <c r="L165" s="8">
        <f t="shared" si="20"/>
        <v>527.12442776337798</v>
      </c>
      <c r="M165" s="8">
        <f t="shared" si="20"/>
        <v>570.07783185191215</v>
      </c>
      <c r="N165" s="8">
        <f t="shared" si="20"/>
        <v>631.61766025914335</v>
      </c>
      <c r="O165" s="8">
        <f t="shared" si="13"/>
        <v>716.20727432441026</v>
      </c>
      <c r="P165" s="8">
        <f t="shared" si="16"/>
        <v>806.99685531627324</v>
      </c>
      <c r="T165" s="8">
        <f t="shared" si="17"/>
        <v>796.04773265546487</v>
      </c>
      <c r="U165" s="8">
        <f t="shared" si="18"/>
        <v>796.05040649235377</v>
      </c>
      <c r="X165" s="4">
        <v>22859</v>
      </c>
      <c r="Y165" s="5"/>
      <c r="Z165" s="5"/>
      <c r="AA165" s="5">
        <f t="shared" si="19"/>
        <v>725.86076250631015</v>
      </c>
    </row>
    <row r="166" spans="4:27" x14ac:dyDescent="0.3">
      <c r="D166" s="8">
        <v>1</v>
      </c>
      <c r="E166" s="8">
        <f t="shared" si="20"/>
        <v>643.76538867412967</v>
      </c>
      <c r="F166" s="8">
        <f t="shared" si="20"/>
        <v>564.42775243324763</v>
      </c>
      <c r="G166" s="8">
        <f t="shared" si="20"/>
        <v>490.32922900766368</v>
      </c>
      <c r="H166" s="8">
        <f t="shared" si="20"/>
        <v>505.92427202212355</v>
      </c>
      <c r="I166" s="8">
        <f t="shared" si="20"/>
        <v>535.77489686334422</v>
      </c>
      <c r="J166" s="8">
        <f t="shared" si="20"/>
        <v>522.77072870507504</v>
      </c>
      <c r="K166" s="8">
        <f t="shared" si="20"/>
        <v>527.12442776337798</v>
      </c>
      <c r="L166" s="8">
        <f t="shared" si="20"/>
        <v>570.07783185191215</v>
      </c>
      <c r="M166" s="8">
        <f t="shared" si="20"/>
        <v>631.61766025914335</v>
      </c>
      <c r="N166" s="8">
        <f t="shared" si="20"/>
        <v>716.20727432441026</v>
      </c>
      <c r="O166" s="8">
        <f t="shared" si="13"/>
        <v>806.99685531627324</v>
      </c>
      <c r="P166" s="8">
        <f t="shared" si="16"/>
        <v>796.05040649235377</v>
      </c>
      <c r="T166" s="8">
        <f t="shared" si="17"/>
        <v>716.11531841238605</v>
      </c>
      <c r="U166" s="8">
        <f t="shared" si="18"/>
        <v>716.11692723343731</v>
      </c>
      <c r="X166" s="4">
        <v>22890</v>
      </c>
      <c r="Y166" s="5"/>
      <c r="Z166" s="5"/>
      <c r="AA166" s="5">
        <f t="shared" si="19"/>
        <v>643.76538867412967</v>
      </c>
    </row>
    <row r="167" spans="4:27" x14ac:dyDescent="0.3">
      <c r="D167" s="8">
        <v>1</v>
      </c>
      <c r="E167" s="8">
        <f t="shared" si="20"/>
        <v>564.42775243324763</v>
      </c>
      <c r="F167" s="8">
        <f t="shared" si="20"/>
        <v>490.32922900766368</v>
      </c>
      <c r="G167" s="8">
        <f t="shared" si="20"/>
        <v>505.92427202212355</v>
      </c>
      <c r="H167" s="8">
        <f t="shared" si="20"/>
        <v>535.77489686334422</v>
      </c>
      <c r="I167" s="8">
        <f t="shared" si="20"/>
        <v>522.77072870507504</v>
      </c>
      <c r="J167" s="8">
        <f t="shared" si="20"/>
        <v>527.12442776337798</v>
      </c>
      <c r="K167" s="8">
        <f t="shared" si="20"/>
        <v>570.07783185191215</v>
      </c>
      <c r="L167" s="8">
        <f t="shared" si="20"/>
        <v>631.61766025914335</v>
      </c>
      <c r="M167" s="8">
        <f t="shared" si="20"/>
        <v>716.20727432441026</v>
      </c>
      <c r="N167" s="8">
        <f t="shared" si="20"/>
        <v>806.99685531627324</v>
      </c>
      <c r="O167" s="8">
        <f t="shared" si="13"/>
        <v>796.05040649235377</v>
      </c>
      <c r="P167" s="8">
        <f t="shared" si="16"/>
        <v>716.11692723343731</v>
      </c>
      <c r="T167" s="8">
        <f t="shared" si="17"/>
        <v>625.41007796105328</v>
      </c>
      <c r="U167" s="8">
        <f t="shared" si="18"/>
        <v>625.41098067993107</v>
      </c>
      <c r="X167" s="4">
        <v>22920</v>
      </c>
      <c r="Y167" s="5"/>
      <c r="Z167" s="5"/>
      <c r="AA167" s="5">
        <f t="shared" si="19"/>
        <v>564.42775243324763</v>
      </c>
    </row>
    <row r="168" spans="4:27" x14ac:dyDescent="0.3">
      <c r="D168" s="8">
        <v>1</v>
      </c>
      <c r="E168" s="8">
        <f t="shared" si="20"/>
        <v>490.32922900766368</v>
      </c>
      <c r="F168" s="8">
        <f t="shared" si="20"/>
        <v>505.92427202212355</v>
      </c>
      <c r="G168" s="8">
        <f t="shared" si="20"/>
        <v>535.77489686334422</v>
      </c>
      <c r="H168" s="8">
        <f t="shared" si="20"/>
        <v>522.77072870507504</v>
      </c>
      <c r="I168" s="8">
        <f t="shared" si="20"/>
        <v>527.12442776337798</v>
      </c>
      <c r="J168" s="8">
        <f t="shared" si="20"/>
        <v>570.07783185191215</v>
      </c>
      <c r="K168" s="8">
        <f t="shared" si="20"/>
        <v>631.61766025914335</v>
      </c>
      <c r="L168" s="8">
        <f t="shared" si="20"/>
        <v>716.20727432441026</v>
      </c>
      <c r="M168" s="8">
        <f t="shared" si="20"/>
        <v>806.99685531627324</v>
      </c>
      <c r="N168" s="8">
        <f t="shared" si="20"/>
        <v>796.05040649235377</v>
      </c>
      <c r="O168" s="8">
        <f t="shared" si="13"/>
        <v>716.11692723343731</v>
      </c>
      <c r="P168" s="8">
        <f t="shared" si="16"/>
        <v>625.41098067993107</v>
      </c>
      <c r="T168" s="8">
        <f t="shared" si="17"/>
        <v>547.64667277291926</v>
      </c>
      <c r="U168" s="8">
        <f t="shared" si="18"/>
        <v>547.64606663850691</v>
      </c>
      <c r="X168" s="4">
        <v>22951</v>
      </c>
      <c r="Y168" s="5"/>
      <c r="Z168" s="5"/>
      <c r="AA168" s="5">
        <f t="shared" si="19"/>
        <v>490.32922900766368</v>
      </c>
    </row>
    <row r="169" spans="4:27" x14ac:dyDescent="0.3">
      <c r="D169" s="8">
        <v>1</v>
      </c>
      <c r="E169" s="8">
        <f t="shared" si="20"/>
        <v>505.92427202212355</v>
      </c>
      <c r="F169" s="8">
        <f t="shared" si="20"/>
        <v>535.77489686334422</v>
      </c>
      <c r="G169" s="8">
        <f t="shared" si="20"/>
        <v>522.77072870507504</v>
      </c>
      <c r="H169" s="8">
        <f t="shared" si="20"/>
        <v>527.12442776337798</v>
      </c>
      <c r="I169" s="8">
        <f t="shared" si="20"/>
        <v>570.07783185191215</v>
      </c>
      <c r="J169" s="8">
        <f t="shared" si="20"/>
        <v>631.61766025914335</v>
      </c>
      <c r="K169" s="8">
        <f t="shared" si="20"/>
        <v>716.20727432441026</v>
      </c>
      <c r="L169" s="8">
        <f t="shared" si="20"/>
        <v>806.99685531627324</v>
      </c>
      <c r="M169" s="8">
        <f t="shared" si="20"/>
        <v>796.05040649235377</v>
      </c>
      <c r="N169" s="8">
        <f t="shared" si="20"/>
        <v>716.11692723343731</v>
      </c>
      <c r="O169" s="8">
        <f t="shared" si="13"/>
        <v>625.41098067993107</v>
      </c>
      <c r="P169" s="8">
        <f t="shared" si="16"/>
        <v>547.64606663850691</v>
      </c>
      <c r="T169" s="8">
        <f t="shared" si="17"/>
        <v>552.04854168215388</v>
      </c>
      <c r="U169" s="8">
        <f t="shared" si="18"/>
        <v>552.04803653113777</v>
      </c>
      <c r="X169" s="4">
        <v>22981</v>
      </c>
      <c r="Y169" s="5"/>
      <c r="Z169" s="5"/>
      <c r="AA169" s="5">
        <f t="shared" si="19"/>
        <v>505.92427202212355</v>
      </c>
    </row>
    <row r="170" spans="4:27" x14ac:dyDescent="0.3">
      <c r="X170" s="4">
        <v>23012</v>
      </c>
      <c r="Y170" s="5"/>
      <c r="Z170" s="5"/>
      <c r="AA170" s="5">
        <f t="shared" si="19"/>
        <v>535.77489686334422</v>
      </c>
    </row>
    <row r="171" spans="4:27" x14ac:dyDescent="0.3">
      <c r="X171" s="4">
        <v>23043</v>
      </c>
      <c r="Y171" s="5"/>
      <c r="Z171" s="5"/>
      <c r="AA171" s="5">
        <f t="shared" si="19"/>
        <v>522.77072870507504</v>
      </c>
    </row>
    <row r="172" spans="4:27" x14ac:dyDescent="0.3">
      <c r="D172" s="1" t="s">
        <v>2</v>
      </c>
      <c r="E172" s="1" t="s">
        <v>3</v>
      </c>
      <c r="F172" s="1" t="s">
        <v>4</v>
      </c>
      <c r="G172" s="1" t="s">
        <v>5</v>
      </c>
      <c r="H172" s="1" t="s">
        <v>6</v>
      </c>
      <c r="I172" s="1" t="s">
        <v>7</v>
      </c>
      <c r="J172" s="1" t="s">
        <v>8</v>
      </c>
      <c r="K172" s="1" t="s">
        <v>9</v>
      </c>
      <c r="L172" s="1" t="s">
        <v>10</v>
      </c>
      <c r="M172" s="1" t="s">
        <v>11</v>
      </c>
      <c r="N172" s="1" t="s">
        <v>12</v>
      </c>
      <c r="O172" s="1" t="s">
        <v>13</v>
      </c>
      <c r="P172" s="1" t="s">
        <v>14</v>
      </c>
      <c r="T172" s="1" t="s">
        <v>29</v>
      </c>
      <c r="U172" s="1" t="s">
        <v>29</v>
      </c>
      <c r="X172" s="4">
        <v>23071</v>
      </c>
      <c r="Y172" s="5"/>
      <c r="Z172" s="5"/>
      <c r="AA172" s="5">
        <f t="shared" si="19"/>
        <v>527.12442776337798</v>
      </c>
    </row>
    <row r="173" spans="4:27" x14ac:dyDescent="0.3">
      <c r="D173" s="3">
        <v>9.43748314396084</v>
      </c>
      <c r="E173" s="3">
        <v>0.61266129693023852</v>
      </c>
      <c r="F173" s="3">
        <v>0.31797493407469329</v>
      </c>
      <c r="G173" s="3">
        <v>-0.25287776999811556</v>
      </c>
      <c r="H173" s="3">
        <v>0.27933063669635066</v>
      </c>
      <c r="I173" s="3">
        <v>-0.26874209154993772</v>
      </c>
      <c r="J173" s="3">
        <v>0.17905144635885129</v>
      </c>
      <c r="K173" s="3">
        <v>-0.19836267984154213</v>
      </c>
      <c r="L173" s="3">
        <v>0.23357783179396274</v>
      </c>
      <c r="M173" s="3">
        <v>-0.21533809412091956</v>
      </c>
      <c r="N173" s="3">
        <v>0.1943917943315073</v>
      </c>
      <c r="O173" s="3">
        <v>-0.27157374592630762</v>
      </c>
      <c r="P173" s="3">
        <v>0.44368974185182491</v>
      </c>
      <c r="Q173" s="6" t="s">
        <v>32</v>
      </c>
      <c r="T173" s="3">
        <f t="array" ref="T173">SUM( (R2:R133-T2:T133)^2 )</f>
        <v>24094.958021761726</v>
      </c>
      <c r="U173" s="3">
        <f t="array" ref="U173">SUM( (R2:R133-U2:U133)^2 )</f>
        <v>24094.957927736185</v>
      </c>
      <c r="X173" s="4">
        <v>23102</v>
      </c>
      <c r="Y173" s="5"/>
      <c r="Z173" s="5"/>
      <c r="AA173" s="5">
        <f t="shared" si="19"/>
        <v>570.07783185191215</v>
      </c>
    </row>
    <row r="174" spans="4:27" x14ac:dyDescent="0.3">
      <c r="D174" s="3">
        <f t="array" ref="D174:P174" xml:space="preserve"> TRANSPOSE( MMULT( MMULT( MINVERSE( MMULT( TRANSPOSE( D2:P133 ), D2:P133 ) ), TRANSPOSE( D2:P133 ) ), R2:R133 ) )</f>
        <v>9.436883457631362</v>
      </c>
      <c r="E174" s="3">
        <v>0.61268284966852704</v>
      </c>
      <c r="F174" s="3">
        <v>0.31794890660726349</v>
      </c>
      <c r="G174" s="3">
        <v>-0.25287341484423159</v>
      </c>
      <c r="H174" s="3">
        <v>0.27933162970462311</v>
      </c>
      <c r="I174" s="3">
        <v>-0.26873157606075693</v>
      </c>
      <c r="J174" s="3">
        <v>0.17903729846089389</v>
      </c>
      <c r="K174" s="3">
        <v>-0.19835967707948277</v>
      </c>
      <c r="L174" s="3">
        <v>0.23357865875998407</v>
      </c>
      <c r="M174" s="3">
        <v>-0.21532935468528441</v>
      </c>
      <c r="N174" s="3">
        <v>0.19438395611791692</v>
      </c>
      <c r="O174" s="3">
        <v>-0.27158819380124677</v>
      </c>
      <c r="P174" s="3">
        <v>0.44370462467829186</v>
      </c>
      <c r="Q174" s="6" t="s">
        <v>33</v>
      </c>
      <c r="X174" s="4">
        <v>23132</v>
      </c>
      <c r="Y174" s="5"/>
      <c r="Z174" s="5"/>
      <c r="AA174" s="5">
        <f t="shared" si="19"/>
        <v>631.61766025914335</v>
      </c>
    </row>
    <row r="175" spans="4:27" x14ac:dyDescent="0.3">
      <c r="X175" s="4">
        <v>23163</v>
      </c>
      <c r="Y175" s="5"/>
      <c r="Z175" s="5"/>
      <c r="AA175" s="5">
        <f t="shared" si="19"/>
        <v>716.20727432441026</v>
      </c>
    </row>
    <row r="176" spans="4:27" x14ac:dyDescent="0.3">
      <c r="X176" s="4">
        <v>23193</v>
      </c>
      <c r="Y176" s="5"/>
      <c r="Z176" s="5"/>
      <c r="AA176" s="5">
        <f t="shared" si="19"/>
        <v>806.99685531627324</v>
      </c>
    </row>
    <row r="177" spans="24:27" x14ac:dyDescent="0.3">
      <c r="X177" s="4">
        <v>23224</v>
      </c>
      <c r="Y177" s="5"/>
      <c r="Z177" s="5"/>
      <c r="AA177" s="5">
        <f t="shared" si="19"/>
        <v>796.05040649235377</v>
      </c>
    </row>
    <row r="178" spans="24:27" x14ac:dyDescent="0.3">
      <c r="X178" s="4">
        <v>23255</v>
      </c>
      <c r="Y178" s="5"/>
      <c r="Z178" s="5"/>
      <c r="AA178" s="5">
        <f t="shared" si="19"/>
        <v>716.11692723343731</v>
      </c>
    </row>
    <row r="179" spans="24:27" x14ac:dyDescent="0.3">
      <c r="X179" s="4">
        <v>23285</v>
      </c>
      <c r="Y179" s="5"/>
      <c r="Z179" s="5"/>
      <c r="AA179" s="5">
        <f t="shared" si="19"/>
        <v>625.41098067993107</v>
      </c>
    </row>
    <row r="180" spans="24:27" x14ac:dyDescent="0.3">
      <c r="X180" s="4">
        <v>23316</v>
      </c>
      <c r="Y180" s="5"/>
      <c r="Z180" s="5"/>
      <c r="AA180" s="5">
        <f t="shared" si="19"/>
        <v>547.64606663850691</v>
      </c>
    </row>
    <row r="181" spans="24:27" x14ac:dyDescent="0.3">
      <c r="X181" s="4">
        <v>23346</v>
      </c>
      <c r="Y181" s="5"/>
      <c r="Z181" s="5"/>
      <c r="AA181" s="5">
        <f t="shared" si="19"/>
        <v>552.04803653113777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DB82-9B4E-4CB9-BCA5-92DC4B8653CB}">
  <dimension ref="A1:DB15"/>
  <sheetViews>
    <sheetView workbookViewId="0"/>
  </sheetViews>
  <sheetFormatPr defaultRowHeight="14.4" x14ac:dyDescent="0.3"/>
  <sheetData>
    <row r="1" spans="1:106" x14ac:dyDescent="0.3">
      <c r="F1" s="17" t="s">
        <v>44</v>
      </c>
      <c r="G1" s="18"/>
      <c r="H1" s="18"/>
      <c r="I1" s="18"/>
      <c r="J1" s="18"/>
      <c r="K1" s="18"/>
      <c r="L1" s="18"/>
      <c r="M1" s="18"/>
      <c r="N1" s="18"/>
      <c r="O1" s="18"/>
      <c r="P1" s="17" t="s">
        <v>44</v>
      </c>
      <c r="Q1" s="18"/>
      <c r="R1" s="18"/>
      <c r="S1" s="18"/>
      <c r="T1" s="18"/>
      <c r="U1" s="18"/>
      <c r="V1" s="18"/>
      <c r="W1" s="18"/>
      <c r="X1" s="18"/>
      <c r="Y1" s="18"/>
      <c r="Z1" s="17" t="s">
        <v>44</v>
      </c>
      <c r="AA1" s="18"/>
      <c r="AB1" s="18"/>
      <c r="AC1" s="18"/>
      <c r="AD1" s="18"/>
      <c r="AE1" s="18"/>
      <c r="AF1" s="18"/>
      <c r="AG1" s="18"/>
      <c r="AH1" s="18"/>
      <c r="AI1" s="18"/>
      <c r="AJ1" s="17" t="s">
        <v>44</v>
      </c>
      <c r="AK1" s="18"/>
      <c r="AL1" s="18"/>
      <c r="AM1" s="18"/>
      <c r="AN1" s="18"/>
      <c r="AO1" s="18"/>
      <c r="AP1" s="18"/>
      <c r="AQ1" s="18"/>
      <c r="AR1" s="18"/>
      <c r="AS1" s="18"/>
      <c r="AT1" s="17" t="s">
        <v>44</v>
      </c>
      <c r="AU1" s="18"/>
      <c r="AV1" s="18"/>
      <c r="AW1" s="18"/>
      <c r="AX1" s="18"/>
      <c r="AY1" s="18"/>
      <c r="AZ1" s="18"/>
      <c r="BA1" s="18"/>
      <c r="BB1" s="18"/>
      <c r="BC1" s="18"/>
      <c r="BD1" s="17" t="s">
        <v>44</v>
      </c>
      <c r="BE1" s="18"/>
      <c r="BF1" s="18"/>
      <c r="BG1" s="18"/>
      <c r="BH1" s="18"/>
      <c r="BI1" s="18"/>
      <c r="BJ1" s="18"/>
      <c r="BK1" s="18"/>
      <c r="BL1" s="18"/>
      <c r="BM1" s="18"/>
      <c r="BN1" s="17" t="s">
        <v>44</v>
      </c>
      <c r="BO1" s="18"/>
      <c r="BP1" s="18"/>
      <c r="BQ1" s="18"/>
      <c r="BR1" s="18"/>
      <c r="BS1" s="18"/>
      <c r="BT1" s="18"/>
      <c r="BU1" s="18"/>
      <c r="BV1" s="18"/>
      <c r="BW1" s="18"/>
      <c r="BX1" s="17" t="s">
        <v>44</v>
      </c>
      <c r="BY1" s="18"/>
      <c r="BZ1" s="18"/>
      <c r="CA1" s="18"/>
      <c r="CB1" s="18"/>
      <c r="CC1" s="18"/>
      <c r="CD1" s="18"/>
      <c r="CE1" s="18"/>
      <c r="CF1" s="18"/>
      <c r="CG1" s="18"/>
      <c r="CH1" s="17" t="s">
        <v>44</v>
      </c>
      <c r="CI1" s="18"/>
      <c r="CJ1" s="18"/>
      <c r="CK1" s="18"/>
      <c r="CL1" s="18"/>
      <c r="CM1" s="18"/>
      <c r="CN1" s="18"/>
      <c r="CO1" s="18"/>
      <c r="CP1" s="18"/>
      <c r="CQ1" s="18"/>
      <c r="CR1" s="17" t="s">
        <v>44</v>
      </c>
      <c r="CS1" s="18"/>
      <c r="CT1" s="18"/>
      <c r="CU1" s="18"/>
      <c r="CV1" s="18"/>
      <c r="CW1" s="18"/>
      <c r="CX1" s="18"/>
      <c r="CY1" s="18"/>
      <c r="CZ1" s="18"/>
      <c r="DA1" s="18"/>
    </row>
    <row r="2" spans="1:106" x14ac:dyDescent="0.3">
      <c r="A2" s="1" t="s">
        <v>34</v>
      </c>
      <c r="B2" s="1" t="s">
        <v>41</v>
      </c>
      <c r="C2" s="1" t="s">
        <v>43</v>
      </c>
      <c r="E2" s="14">
        <v>0</v>
      </c>
      <c r="F2" s="14">
        <f t="shared" ref="F2:AK2" si="0">E2+1%</f>
        <v>0.01</v>
      </c>
      <c r="G2" s="14">
        <f t="shared" si="0"/>
        <v>0.02</v>
      </c>
      <c r="H2" s="14">
        <f t="shared" si="0"/>
        <v>0.03</v>
      </c>
      <c r="I2" s="14">
        <f t="shared" si="0"/>
        <v>0.04</v>
      </c>
      <c r="J2" s="14">
        <f t="shared" si="0"/>
        <v>0.05</v>
      </c>
      <c r="K2" s="14">
        <f t="shared" si="0"/>
        <v>6.0000000000000005E-2</v>
      </c>
      <c r="L2" s="14">
        <f t="shared" si="0"/>
        <v>7.0000000000000007E-2</v>
      </c>
      <c r="M2" s="14">
        <f t="shared" si="0"/>
        <v>0.08</v>
      </c>
      <c r="N2" s="14">
        <f t="shared" si="0"/>
        <v>0.09</v>
      </c>
      <c r="O2" s="14">
        <f t="shared" si="0"/>
        <v>9.9999999999999992E-2</v>
      </c>
      <c r="P2" s="14">
        <f t="shared" si="0"/>
        <v>0.10999999999999999</v>
      </c>
      <c r="Q2" s="14">
        <f t="shared" si="0"/>
        <v>0.11999999999999998</v>
      </c>
      <c r="R2" s="14">
        <f t="shared" si="0"/>
        <v>0.12999999999999998</v>
      </c>
      <c r="S2" s="14">
        <f t="shared" si="0"/>
        <v>0.13999999999999999</v>
      </c>
      <c r="T2" s="14">
        <f t="shared" si="0"/>
        <v>0.15</v>
      </c>
      <c r="U2" s="14">
        <f t="shared" si="0"/>
        <v>0.16</v>
      </c>
      <c r="V2" s="14">
        <f t="shared" si="0"/>
        <v>0.17</v>
      </c>
      <c r="W2" s="14">
        <f t="shared" si="0"/>
        <v>0.18000000000000002</v>
      </c>
      <c r="X2" s="14">
        <f t="shared" si="0"/>
        <v>0.19000000000000003</v>
      </c>
      <c r="Y2" s="14">
        <f t="shared" si="0"/>
        <v>0.20000000000000004</v>
      </c>
      <c r="Z2" s="14">
        <f t="shared" si="0"/>
        <v>0.21000000000000005</v>
      </c>
      <c r="AA2" s="14">
        <f t="shared" si="0"/>
        <v>0.22000000000000006</v>
      </c>
      <c r="AB2" s="14">
        <f t="shared" si="0"/>
        <v>0.23000000000000007</v>
      </c>
      <c r="AC2" s="14">
        <f t="shared" si="0"/>
        <v>0.24000000000000007</v>
      </c>
      <c r="AD2" s="14">
        <f t="shared" si="0"/>
        <v>0.25000000000000006</v>
      </c>
      <c r="AE2" s="14">
        <f t="shared" si="0"/>
        <v>0.26000000000000006</v>
      </c>
      <c r="AF2" s="14">
        <f t="shared" si="0"/>
        <v>0.27000000000000007</v>
      </c>
      <c r="AG2" s="14">
        <f t="shared" si="0"/>
        <v>0.28000000000000008</v>
      </c>
      <c r="AH2" s="14">
        <f t="shared" si="0"/>
        <v>0.29000000000000009</v>
      </c>
      <c r="AI2" s="14">
        <f t="shared" si="0"/>
        <v>0.3000000000000001</v>
      </c>
      <c r="AJ2" s="14">
        <f t="shared" si="0"/>
        <v>0.31000000000000011</v>
      </c>
      <c r="AK2" s="14">
        <f t="shared" si="0"/>
        <v>0.32000000000000012</v>
      </c>
      <c r="AL2" s="14">
        <f t="shared" ref="AL2:BQ2" si="1">AK2+1%</f>
        <v>0.33000000000000013</v>
      </c>
      <c r="AM2" s="14">
        <f t="shared" si="1"/>
        <v>0.34000000000000014</v>
      </c>
      <c r="AN2" s="14">
        <f t="shared" si="1"/>
        <v>0.35000000000000014</v>
      </c>
      <c r="AO2" s="14">
        <f t="shared" si="1"/>
        <v>0.36000000000000015</v>
      </c>
      <c r="AP2" s="14">
        <f t="shared" si="1"/>
        <v>0.37000000000000016</v>
      </c>
      <c r="AQ2" s="14">
        <f t="shared" si="1"/>
        <v>0.38000000000000017</v>
      </c>
      <c r="AR2" s="14">
        <f t="shared" si="1"/>
        <v>0.39000000000000018</v>
      </c>
      <c r="AS2" s="14">
        <f t="shared" si="1"/>
        <v>0.40000000000000019</v>
      </c>
      <c r="AT2" s="14">
        <f t="shared" si="1"/>
        <v>0.4100000000000002</v>
      </c>
      <c r="AU2" s="14">
        <f t="shared" si="1"/>
        <v>0.42000000000000021</v>
      </c>
      <c r="AV2" s="14">
        <f t="shared" si="1"/>
        <v>0.43000000000000022</v>
      </c>
      <c r="AW2" s="14">
        <f t="shared" si="1"/>
        <v>0.44000000000000022</v>
      </c>
      <c r="AX2" s="14">
        <f t="shared" si="1"/>
        <v>0.45000000000000023</v>
      </c>
      <c r="AY2" s="14">
        <f t="shared" si="1"/>
        <v>0.46000000000000024</v>
      </c>
      <c r="AZ2" s="14">
        <f t="shared" si="1"/>
        <v>0.47000000000000025</v>
      </c>
      <c r="BA2" s="14">
        <f t="shared" si="1"/>
        <v>0.48000000000000026</v>
      </c>
      <c r="BB2" s="14">
        <f t="shared" si="1"/>
        <v>0.49000000000000027</v>
      </c>
      <c r="BC2" s="14">
        <f t="shared" si="1"/>
        <v>0.50000000000000022</v>
      </c>
      <c r="BD2" s="14">
        <f t="shared" si="1"/>
        <v>0.51000000000000023</v>
      </c>
      <c r="BE2" s="14">
        <f t="shared" si="1"/>
        <v>0.52000000000000024</v>
      </c>
      <c r="BF2" s="14">
        <f t="shared" si="1"/>
        <v>0.53000000000000025</v>
      </c>
      <c r="BG2" s="14">
        <f t="shared" si="1"/>
        <v>0.54000000000000026</v>
      </c>
      <c r="BH2" s="14">
        <f t="shared" si="1"/>
        <v>0.55000000000000027</v>
      </c>
      <c r="BI2" s="14">
        <f t="shared" si="1"/>
        <v>0.56000000000000028</v>
      </c>
      <c r="BJ2" s="14">
        <f t="shared" si="1"/>
        <v>0.57000000000000028</v>
      </c>
      <c r="BK2" s="14">
        <f t="shared" si="1"/>
        <v>0.58000000000000029</v>
      </c>
      <c r="BL2" s="14">
        <f t="shared" si="1"/>
        <v>0.5900000000000003</v>
      </c>
      <c r="BM2" s="14">
        <f t="shared" si="1"/>
        <v>0.60000000000000031</v>
      </c>
      <c r="BN2" s="14">
        <f t="shared" si="1"/>
        <v>0.61000000000000032</v>
      </c>
      <c r="BO2" s="14">
        <f t="shared" si="1"/>
        <v>0.62000000000000033</v>
      </c>
      <c r="BP2" s="14">
        <f t="shared" si="1"/>
        <v>0.63000000000000034</v>
      </c>
      <c r="BQ2" s="14">
        <f t="shared" si="1"/>
        <v>0.64000000000000035</v>
      </c>
      <c r="BR2" s="14">
        <f t="shared" ref="BR2:DB2" si="2">BQ2+1%</f>
        <v>0.65000000000000036</v>
      </c>
      <c r="BS2" s="14">
        <f t="shared" si="2"/>
        <v>0.66000000000000036</v>
      </c>
      <c r="BT2" s="14">
        <f t="shared" si="2"/>
        <v>0.67000000000000037</v>
      </c>
      <c r="BU2" s="14">
        <f t="shared" si="2"/>
        <v>0.68000000000000038</v>
      </c>
      <c r="BV2" s="14">
        <f t="shared" si="2"/>
        <v>0.69000000000000039</v>
      </c>
      <c r="BW2" s="14">
        <f t="shared" si="2"/>
        <v>0.7000000000000004</v>
      </c>
      <c r="BX2" s="14">
        <f t="shared" si="2"/>
        <v>0.71000000000000041</v>
      </c>
      <c r="BY2" s="14">
        <f t="shared" si="2"/>
        <v>0.72000000000000042</v>
      </c>
      <c r="BZ2" s="14">
        <f t="shared" si="2"/>
        <v>0.73000000000000043</v>
      </c>
      <c r="CA2" s="14">
        <f t="shared" si="2"/>
        <v>0.74000000000000044</v>
      </c>
      <c r="CB2" s="14">
        <f t="shared" si="2"/>
        <v>0.75000000000000044</v>
      </c>
      <c r="CC2" s="14">
        <f t="shared" si="2"/>
        <v>0.76000000000000045</v>
      </c>
      <c r="CD2" s="14">
        <f t="shared" si="2"/>
        <v>0.77000000000000046</v>
      </c>
      <c r="CE2" s="14">
        <f t="shared" si="2"/>
        <v>0.78000000000000047</v>
      </c>
      <c r="CF2" s="14">
        <f t="shared" si="2"/>
        <v>0.79000000000000048</v>
      </c>
      <c r="CG2" s="14">
        <f t="shared" si="2"/>
        <v>0.80000000000000049</v>
      </c>
      <c r="CH2" s="14">
        <f t="shared" si="2"/>
        <v>0.8100000000000005</v>
      </c>
      <c r="CI2" s="14">
        <f t="shared" si="2"/>
        <v>0.82000000000000051</v>
      </c>
      <c r="CJ2" s="14">
        <f t="shared" si="2"/>
        <v>0.83000000000000052</v>
      </c>
      <c r="CK2" s="14">
        <f t="shared" si="2"/>
        <v>0.84000000000000052</v>
      </c>
      <c r="CL2" s="14">
        <f t="shared" si="2"/>
        <v>0.85000000000000053</v>
      </c>
      <c r="CM2" s="14">
        <f t="shared" si="2"/>
        <v>0.86000000000000054</v>
      </c>
      <c r="CN2" s="14">
        <f t="shared" si="2"/>
        <v>0.87000000000000055</v>
      </c>
      <c r="CO2" s="14">
        <f t="shared" si="2"/>
        <v>0.88000000000000056</v>
      </c>
      <c r="CP2" s="14">
        <f t="shared" si="2"/>
        <v>0.89000000000000057</v>
      </c>
      <c r="CQ2" s="14">
        <f t="shared" si="2"/>
        <v>0.90000000000000058</v>
      </c>
      <c r="CR2" s="14">
        <f t="shared" si="2"/>
        <v>0.91000000000000059</v>
      </c>
      <c r="CS2" s="14">
        <f t="shared" si="2"/>
        <v>0.9200000000000006</v>
      </c>
      <c r="CT2" s="14">
        <f t="shared" si="2"/>
        <v>0.9300000000000006</v>
      </c>
      <c r="CU2" s="14">
        <f t="shared" si="2"/>
        <v>0.94000000000000061</v>
      </c>
      <c r="CV2" s="14">
        <f t="shared" si="2"/>
        <v>0.95000000000000062</v>
      </c>
      <c r="CW2" s="14">
        <f t="shared" si="2"/>
        <v>0.96000000000000063</v>
      </c>
      <c r="CX2" s="14">
        <f t="shared" si="2"/>
        <v>0.97000000000000064</v>
      </c>
      <c r="CY2" s="14">
        <f t="shared" si="2"/>
        <v>0.98000000000000065</v>
      </c>
      <c r="CZ2" s="14">
        <f t="shared" si="2"/>
        <v>0.99000000000000066</v>
      </c>
      <c r="DA2" s="14">
        <f t="shared" si="2"/>
        <v>1.0000000000000007</v>
      </c>
      <c r="DB2" s="14">
        <f t="shared" si="2"/>
        <v>1.0100000000000007</v>
      </c>
    </row>
    <row r="3" spans="1:106" x14ac:dyDescent="0.3">
      <c r="A3" s="3">
        <f>DATOS_MODELO!Y134</f>
        <v>417</v>
      </c>
      <c r="B3" s="3">
        <f>DATOS_MODELO!AA134</f>
        <v>384.04675580871549</v>
      </c>
      <c r="C3" s="15">
        <f t="shared" ref="C3:C14" si="3">ABS( B3 / A3 - 1 )</f>
        <v>7.9024566405958008E-2</v>
      </c>
      <c r="E3" s="3">
        <f t="shared" ref="E3:N14" si="4">IF($C3&lt;=E$2,$A3,0)</f>
        <v>0</v>
      </c>
      <c r="F3" s="3">
        <f t="shared" si="4"/>
        <v>0</v>
      </c>
      <c r="G3" s="3">
        <f t="shared" si="4"/>
        <v>0</v>
      </c>
      <c r="H3" s="3">
        <f t="shared" si="4"/>
        <v>0</v>
      </c>
      <c r="I3" s="3">
        <f t="shared" si="4"/>
        <v>0</v>
      </c>
      <c r="J3" s="3">
        <f t="shared" si="4"/>
        <v>0</v>
      </c>
      <c r="K3" s="3">
        <f t="shared" si="4"/>
        <v>0</v>
      </c>
      <c r="L3" s="3">
        <f t="shared" si="4"/>
        <v>0</v>
      </c>
      <c r="M3" s="3">
        <f t="shared" si="4"/>
        <v>417</v>
      </c>
      <c r="N3" s="3">
        <f t="shared" si="4"/>
        <v>417</v>
      </c>
      <c r="O3" s="3">
        <f t="shared" ref="O3:X14" si="5">IF($C3&lt;=O$2,$A3,0)</f>
        <v>417</v>
      </c>
      <c r="P3" s="3">
        <f t="shared" si="5"/>
        <v>417</v>
      </c>
      <c r="Q3" s="3">
        <f t="shared" si="5"/>
        <v>417</v>
      </c>
      <c r="R3" s="3">
        <f t="shared" si="5"/>
        <v>417</v>
      </c>
      <c r="S3" s="3">
        <f t="shared" si="5"/>
        <v>417</v>
      </c>
      <c r="T3" s="3">
        <f t="shared" si="5"/>
        <v>417</v>
      </c>
      <c r="U3" s="3">
        <f t="shared" si="5"/>
        <v>417</v>
      </c>
      <c r="V3" s="3">
        <f t="shared" si="5"/>
        <v>417</v>
      </c>
      <c r="W3" s="3">
        <f t="shared" si="5"/>
        <v>417</v>
      </c>
      <c r="X3" s="3">
        <f t="shared" si="5"/>
        <v>417</v>
      </c>
      <c r="Y3" s="3">
        <f t="shared" ref="Y3:AH14" si="6">IF($C3&lt;=Y$2,$A3,0)</f>
        <v>417</v>
      </c>
      <c r="Z3" s="3">
        <f t="shared" si="6"/>
        <v>417</v>
      </c>
      <c r="AA3" s="3">
        <f t="shared" si="6"/>
        <v>417</v>
      </c>
      <c r="AB3" s="3">
        <f t="shared" si="6"/>
        <v>417</v>
      </c>
      <c r="AC3" s="3">
        <f t="shared" si="6"/>
        <v>417</v>
      </c>
      <c r="AD3" s="3">
        <f t="shared" si="6"/>
        <v>417</v>
      </c>
      <c r="AE3" s="3">
        <f t="shared" si="6"/>
        <v>417</v>
      </c>
      <c r="AF3" s="3">
        <f t="shared" si="6"/>
        <v>417</v>
      </c>
      <c r="AG3" s="3">
        <f t="shared" si="6"/>
        <v>417</v>
      </c>
      <c r="AH3" s="3">
        <f t="shared" si="6"/>
        <v>417</v>
      </c>
      <c r="AI3" s="3">
        <f t="shared" ref="AI3:AR14" si="7">IF($C3&lt;=AI$2,$A3,0)</f>
        <v>417</v>
      </c>
      <c r="AJ3" s="3">
        <f t="shared" si="7"/>
        <v>417</v>
      </c>
      <c r="AK3" s="3">
        <f t="shared" si="7"/>
        <v>417</v>
      </c>
      <c r="AL3" s="3">
        <f t="shared" si="7"/>
        <v>417</v>
      </c>
      <c r="AM3" s="3">
        <f t="shared" si="7"/>
        <v>417</v>
      </c>
      <c r="AN3" s="3">
        <f t="shared" si="7"/>
        <v>417</v>
      </c>
      <c r="AO3" s="3">
        <f t="shared" si="7"/>
        <v>417</v>
      </c>
      <c r="AP3" s="3">
        <f t="shared" si="7"/>
        <v>417</v>
      </c>
      <c r="AQ3" s="3">
        <f t="shared" si="7"/>
        <v>417</v>
      </c>
      <c r="AR3" s="3">
        <f t="shared" si="7"/>
        <v>417</v>
      </c>
      <c r="AS3" s="3">
        <f t="shared" ref="AS3:BB14" si="8">IF($C3&lt;=AS$2,$A3,0)</f>
        <v>417</v>
      </c>
      <c r="AT3" s="3">
        <f t="shared" si="8"/>
        <v>417</v>
      </c>
      <c r="AU3" s="3">
        <f t="shared" si="8"/>
        <v>417</v>
      </c>
      <c r="AV3" s="3">
        <f t="shared" si="8"/>
        <v>417</v>
      </c>
      <c r="AW3" s="3">
        <f t="shared" si="8"/>
        <v>417</v>
      </c>
      <c r="AX3" s="3">
        <f t="shared" si="8"/>
        <v>417</v>
      </c>
      <c r="AY3" s="3">
        <f t="shared" si="8"/>
        <v>417</v>
      </c>
      <c r="AZ3" s="3">
        <f t="shared" si="8"/>
        <v>417</v>
      </c>
      <c r="BA3" s="3">
        <f t="shared" si="8"/>
        <v>417</v>
      </c>
      <c r="BB3" s="3">
        <f t="shared" si="8"/>
        <v>417</v>
      </c>
      <c r="BC3" s="3">
        <f t="shared" ref="BC3:BL14" si="9">IF($C3&lt;=BC$2,$A3,0)</f>
        <v>417</v>
      </c>
      <c r="BD3" s="3">
        <f t="shared" si="9"/>
        <v>417</v>
      </c>
      <c r="BE3" s="3">
        <f t="shared" si="9"/>
        <v>417</v>
      </c>
      <c r="BF3" s="3">
        <f t="shared" si="9"/>
        <v>417</v>
      </c>
      <c r="BG3" s="3">
        <f t="shared" si="9"/>
        <v>417</v>
      </c>
      <c r="BH3" s="3">
        <f t="shared" si="9"/>
        <v>417</v>
      </c>
      <c r="BI3" s="3">
        <f t="shared" si="9"/>
        <v>417</v>
      </c>
      <c r="BJ3" s="3">
        <f t="shared" si="9"/>
        <v>417</v>
      </c>
      <c r="BK3" s="3">
        <f t="shared" si="9"/>
        <v>417</v>
      </c>
      <c r="BL3" s="3">
        <f t="shared" si="9"/>
        <v>417</v>
      </c>
      <c r="BM3" s="3">
        <f t="shared" ref="BM3:BV14" si="10">IF($C3&lt;=BM$2,$A3,0)</f>
        <v>417</v>
      </c>
      <c r="BN3" s="3">
        <f t="shared" si="10"/>
        <v>417</v>
      </c>
      <c r="BO3" s="3">
        <f t="shared" si="10"/>
        <v>417</v>
      </c>
      <c r="BP3" s="3">
        <f t="shared" si="10"/>
        <v>417</v>
      </c>
      <c r="BQ3" s="3">
        <f t="shared" si="10"/>
        <v>417</v>
      </c>
      <c r="BR3" s="3">
        <f t="shared" si="10"/>
        <v>417</v>
      </c>
      <c r="BS3" s="3">
        <f t="shared" si="10"/>
        <v>417</v>
      </c>
      <c r="BT3" s="3">
        <f t="shared" si="10"/>
        <v>417</v>
      </c>
      <c r="BU3" s="3">
        <f t="shared" si="10"/>
        <v>417</v>
      </c>
      <c r="BV3" s="3">
        <f t="shared" si="10"/>
        <v>417</v>
      </c>
      <c r="BW3" s="3">
        <f t="shared" ref="BW3:CF14" si="11">IF($C3&lt;=BW$2,$A3,0)</f>
        <v>417</v>
      </c>
      <c r="BX3" s="3">
        <f t="shared" si="11"/>
        <v>417</v>
      </c>
      <c r="BY3" s="3">
        <f t="shared" si="11"/>
        <v>417</v>
      </c>
      <c r="BZ3" s="3">
        <f t="shared" si="11"/>
        <v>417</v>
      </c>
      <c r="CA3" s="3">
        <f t="shared" si="11"/>
        <v>417</v>
      </c>
      <c r="CB3" s="3">
        <f t="shared" si="11"/>
        <v>417</v>
      </c>
      <c r="CC3" s="3">
        <f t="shared" si="11"/>
        <v>417</v>
      </c>
      <c r="CD3" s="3">
        <f t="shared" si="11"/>
        <v>417</v>
      </c>
      <c r="CE3" s="3">
        <f t="shared" si="11"/>
        <v>417</v>
      </c>
      <c r="CF3" s="3">
        <f t="shared" si="11"/>
        <v>417</v>
      </c>
      <c r="CG3" s="3">
        <f t="shared" ref="CG3:CP14" si="12">IF($C3&lt;=CG$2,$A3,0)</f>
        <v>417</v>
      </c>
      <c r="CH3" s="3">
        <f t="shared" si="12"/>
        <v>417</v>
      </c>
      <c r="CI3" s="3">
        <f t="shared" si="12"/>
        <v>417</v>
      </c>
      <c r="CJ3" s="3">
        <f t="shared" si="12"/>
        <v>417</v>
      </c>
      <c r="CK3" s="3">
        <f t="shared" si="12"/>
        <v>417</v>
      </c>
      <c r="CL3" s="3">
        <f t="shared" si="12"/>
        <v>417</v>
      </c>
      <c r="CM3" s="3">
        <f t="shared" si="12"/>
        <v>417</v>
      </c>
      <c r="CN3" s="3">
        <f t="shared" si="12"/>
        <v>417</v>
      </c>
      <c r="CO3" s="3">
        <f t="shared" si="12"/>
        <v>417</v>
      </c>
      <c r="CP3" s="3">
        <f t="shared" si="12"/>
        <v>417</v>
      </c>
      <c r="CQ3" s="3">
        <f t="shared" ref="CQ3:DA14" si="13">IF($C3&lt;=CQ$2,$A3,0)</f>
        <v>417</v>
      </c>
      <c r="CR3" s="3">
        <f t="shared" si="13"/>
        <v>417</v>
      </c>
      <c r="CS3" s="3">
        <f t="shared" si="13"/>
        <v>417</v>
      </c>
      <c r="CT3" s="3">
        <f t="shared" si="13"/>
        <v>417</v>
      </c>
      <c r="CU3" s="3">
        <f t="shared" si="13"/>
        <v>417</v>
      </c>
      <c r="CV3" s="3">
        <f t="shared" si="13"/>
        <v>417</v>
      </c>
      <c r="CW3" s="3">
        <f t="shared" si="13"/>
        <v>417</v>
      </c>
      <c r="CX3" s="3">
        <f t="shared" si="13"/>
        <v>417</v>
      </c>
      <c r="CY3" s="3">
        <f t="shared" si="13"/>
        <v>417</v>
      </c>
      <c r="CZ3" s="3">
        <f t="shared" si="13"/>
        <v>417</v>
      </c>
      <c r="DA3" s="3">
        <f t="shared" si="13"/>
        <v>417</v>
      </c>
      <c r="DB3" s="3">
        <f t="shared" ref="DB3:DB14" si="14">$A3</f>
        <v>417</v>
      </c>
    </row>
    <row r="4" spans="1:106" x14ac:dyDescent="0.3">
      <c r="A4" s="3">
        <f>DATOS_MODELO!Y135</f>
        <v>391</v>
      </c>
      <c r="B4" s="3">
        <f>DATOS_MODELO!AA135</f>
        <v>382.10288043398577</v>
      </c>
      <c r="C4" s="15">
        <f t="shared" si="3"/>
        <v>2.2754781498757648E-2</v>
      </c>
      <c r="E4" s="3">
        <f t="shared" si="4"/>
        <v>0</v>
      </c>
      <c r="F4" s="3">
        <f t="shared" si="4"/>
        <v>0</v>
      </c>
      <c r="G4" s="3">
        <f t="shared" si="4"/>
        <v>0</v>
      </c>
      <c r="H4" s="3">
        <f t="shared" si="4"/>
        <v>391</v>
      </c>
      <c r="I4" s="3">
        <f t="shared" si="4"/>
        <v>391</v>
      </c>
      <c r="J4" s="3">
        <f t="shared" si="4"/>
        <v>391</v>
      </c>
      <c r="K4" s="3">
        <f t="shared" si="4"/>
        <v>391</v>
      </c>
      <c r="L4" s="3">
        <f t="shared" si="4"/>
        <v>391</v>
      </c>
      <c r="M4" s="3">
        <f t="shared" si="4"/>
        <v>391</v>
      </c>
      <c r="N4" s="3">
        <f t="shared" si="4"/>
        <v>391</v>
      </c>
      <c r="O4" s="3">
        <f t="shared" si="5"/>
        <v>391</v>
      </c>
      <c r="P4" s="3">
        <f t="shared" si="5"/>
        <v>391</v>
      </c>
      <c r="Q4" s="3">
        <f t="shared" si="5"/>
        <v>391</v>
      </c>
      <c r="R4" s="3">
        <f t="shared" si="5"/>
        <v>391</v>
      </c>
      <c r="S4" s="3">
        <f t="shared" si="5"/>
        <v>391</v>
      </c>
      <c r="T4" s="3">
        <f t="shared" si="5"/>
        <v>391</v>
      </c>
      <c r="U4" s="3">
        <f t="shared" si="5"/>
        <v>391</v>
      </c>
      <c r="V4" s="3">
        <f t="shared" si="5"/>
        <v>391</v>
      </c>
      <c r="W4" s="3">
        <f t="shared" si="5"/>
        <v>391</v>
      </c>
      <c r="X4" s="3">
        <f t="shared" si="5"/>
        <v>391</v>
      </c>
      <c r="Y4" s="3">
        <f t="shared" si="6"/>
        <v>391</v>
      </c>
      <c r="Z4" s="3">
        <f t="shared" si="6"/>
        <v>391</v>
      </c>
      <c r="AA4" s="3">
        <f t="shared" si="6"/>
        <v>391</v>
      </c>
      <c r="AB4" s="3">
        <f t="shared" si="6"/>
        <v>391</v>
      </c>
      <c r="AC4" s="3">
        <f t="shared" si="6"/>
        <v>391</v>
      </c>
      <c r="AD4" s="3">
        <f t="shared" si="6"/>
        <v>391</v>
      </c>
      <c r="AE4" s="3">
        <f t="shared" si="6"/>
        <v>391</v>
      </c>
      <c r="AF4" s="3">
        <f t="shared" si="6"/>
        <v>391</v>
      </c>
      <c r="AG4" s="3">
        <f t="shared" si="6"/>
        <v>391</v>
      </c>
      <c r="AH4" s="3">
        <f t="shared" si="6"/>
        <v>391</v>
      </c>
      <c r="AI4" s="3">
        <f t="shared" si="7"/>
        <v>391</v>
      </c>
      <c r="AJ4" s="3">
        <f t="shared" si="7"/>
        <v>391</v>
      </c>
      <c r="AK4" s="3">
        <f t="shared" si="7"/>
        <v>391</v>
      </c>
      <c r="AL4" s="3">
        <f t="shared" si="7"/>
        <v>391</v>
      </c>
      <c r="AM4" s="3">
        <f t="shared" si="7"/>
        <v>391</v>
      </c>
      <c r="AN4" s="3">
        <f t="shared" si="7"/>
        <v>391</v>
      </c>
      <c r="AO4" s="3">
        <f t="shared" si="7"/>
        <v>391</v>
      </c>
      <c r="AP4" s="3">
        <f t="shared" si="7"/>
        <v>391</v>
      </c>
      <c r="AQ4" s="3">
        <f t="shared" si="7"/>
        <v>391</v>
      </c>
      <c r="AR4" s="3">
        <f t="shared" si="7"/>
        <v>391</v>
      </c>
      <c r="AS4" s="3">
        <f t="shared" si="8"/>
        <v>391</v>
      </c>
      <c r="AT4" s="3">
        <f t="shared" si="8"/>
        <v>391</v>
      </c>
      <c r="AU4" s="3">
        <f t="shared" si="8"/>
        <v>391</v>
      </c>
      <c r="AV4" s="3">
        <f t="shared" si="8"/>
        <v>391</v>
      </c>
      <c r="AW4" s="3">
        <f t="shared" si="8"/>
        <v>391</v>
      </c>
      <c r="AX4" s="3">
        <f t="shared" si="8"/>
        <v>391</v>
      </c>
      <c r="AY4" s="3">
        <f t="shared" si="8"/>
        <v>391</v>
      </c>
      <c r="AZ4" s="3">
        <f t="shared" si="8"/>
        <v>391</v>
      </c>
      <c r="BA4" s="3">
        <f t="shared" si="8"/>
        <v>391</v>
      </c>
      <c r="BB4" s="3">
        <f t="shared" si="8"/>
        <v>391</v>
      </c>
      <c r="BC4" s="3">
        <f t="shared" si="9"/>
        <v>391</v>
      </c>
      <c r="BD4" s="3">
        <f t="shared" si="9"/>
        <v>391</v>
      </c>
      <c r="BE4" s="3">
        <f t="shared" si="9"/>
        <v>391</v>
      </c>
      <c r="BF4" s="3">
        <f t="shared" si="9"/>
        <v>391</v>
      </c>
      <c r="BG4" s="3">
        <f t="shared" si="9"/>
        <v>391</v>
      </c>
      <c r="BH4" s="3">
        <f t="shared" si="9"/>
        <v>391</v>
      </c>
      <c r="BI4" s="3">
        <f t="shared" si="9"/>
        <v>391</v>
      </c>
      <c r="BJ4" s="3">
        <f t="shared" si="9"/>
        <v>391</v>
      </c>
      <c r="BK4" s="3">
        <f t="shared" si="9"/>
        <v>391</v>
      </c>
      <c r="BL4" s="3">
        <f t="shared" si="9"/>
        <v>391</v>
      </c>
      <c r="BM4" s="3">
        <f t="shared" si="10"/>
        <v>391</v>
      </c>
      <c r="BN4" s="3">
        <f t="shared" si="10"/>
        <v>391</v>
      </c>
      <c r="BO4" s="3">
        <f t="shared" si="10"/>
        <v>391</v>
      </c>
      <c r="BP4" s="3">
        <f t="shared" si="10"/>
        <v>391</v>
      </c>
      <c r="BQ4" s="3">
        <f t="shared" si="10"/>
        <v>391</v>
      </c>
      <c r="BR4" s="3">
        <f t="shared" si="10"/>
        <v>391</v>
      </c>
      <c r="BS4" s="3">
        <f t="shared" si="10"/>
        <v>391</v>
      </c>
      <c r="BT4" s="3">
        <f t="shared" si="10"/>
        <v>391</v>
      </c>
      <c r="BU4" s="3">
        <f t="shared" si="10"/>
        <v>391</v>
      </c>
      <c r="BV4" s="3">
        <f t="shared" si="10"/>
        <v>391</v>
      </c>
      <c r="BW4" s="3">
        <f t="shared" si="11"/>
        <v>391</v>
      </c>
      <c r="BX4" s="3">
        <f t="shared" si="11"/>
        <v>391</v>
      </c>
      <c r="BY4" s="3">
        <f t="shared" si="11"/>
        <v>391</v>
      </c>
      <c r="BZ4" s="3">
        <f t="shared" si="11"/>
        <v>391</v>
      </c>
      <c r="CA4" s="3">
        <f t="shared" si="11"/>
        <v>391</v>
      </c>
      <c r="CB4" s="3">
        <f t="shared" si="11"/>
        <v>391</v>
      </c>
      <c r="CC4" s="3">
        <f t="shared" si="11"/>
        <v>391</v>
      </c>
      <c r="CD4" s="3">
        <f t="shared" si="11"/>
        <v>391</v>
      </c>
      <c r="CE4" s="3">
        <f t="shared" si="11"/>
        <v>391</v>
      </c>
      <c r="CF4" s="3">
        <f t="shared" si="11"/>
        <v>391</v>
      </c>
      <c r="CG4" s="3">
        <f t="shared" si="12"/>
        <v>391</v>
      </c>
      <c r="CH4" s="3">
        <f t="shared" si="12"/>
        <v>391</v>
      </c>
      <c r="CI4" s="3">
        <f t="shared" si="12"/>
        <v>391</v>
      </c>
      <c r="CJ4" s="3">
        <f t="shared" si="12"/>
        <v>391</v>
      </c>
      <c r="CK4" s="3">
        <f t="shared" si="12"/>
        <v>391</v>
      </c>
      <c r="CL4" s="3">
        <f t="shared" si="12"/>
        <v>391</v>
      </c>
      <c r="CM4" s="3">
        <f t="shared" si="12"/>
        <v>391</v>
      </c>
      <c r="CN4" s="3">
        <f t="shared" si="12"/>
        <v>391</v>
      </c>
      <c r="CO4" s="3">
        <f t="shared" si="12"/>
        <v>391</v>
      </c>
      <c r="CP4" s="3">
        <f t="shared" si="12"/>
        <v>391</v>
      </c>
      <c r="CQ4" s="3">
        <f t="shared" si="13"/>
        <v>391</v>
      </c>
      <c r="CR4" s="3">
        <f t="shared" si="13"/>
        <v>391</v>
      </c>
      <c r="CS4" s="3">
        <f t="shared" si="13"/>
        <v>391</v>
      </c>
      <c r="CT4" s="3">
        <f t="shared" si="13"/>
        <v>391</v>
      </c>
      <c r="CU4" s="3">
        <f t="shared" si="13"/>
        <v>391</v>
      </c>
      <c r="CV4" s="3">
        <f t="shared" si="13"/>
        <v>391</v>
      </c>
      <c r="CW4" s="3">
        <f t="shared" si="13"/>
        <v>391</v>
      </c>
      <c r="CX4" s="3">
        <f t="shared" si="13"/>
        <v>391</v>
      </c>
      <c r="CY4" s="3">
        <f t="shared" si="13"/>
        <v>391</v>
      </c>
      <c r="CZ4" s="3">
        <f t="shared" si="13"/>
        <v>391</v>
      </c>
      <c r="DA4" s="3">
        <f t="shared" si="13"/>
        <v>391</v>
      </c>
      <c r="DB4" s="3">
        <f t="shared" si="14"/>
        <v>391</v>
      </c>
    </row>
    <row r="5" spans="1:106" x14ac:dyDescent="0.3">
      <c r="A5" s="3">
        <f>DATOS_MODELO!Y136</f>
        <v>419</v>
      </c>
      <c r="B5" s="3">
        <f>DATOS_MODELO!AA136</f>
        <v>426.38812602264795</v>
      </c>
      <c r="C5" s="15">
        <f t="shared" si="3"/>
        <v>1.7632759003933129E-2</v>
      </c>
      <c r="E5" s="3">
        <f t="shared" si="4"/>
        <v>0</v>
      </c>
      <c r="F5" s="3">
        <f t="shared" si="4"/>
        <v>0</v>
      </c>
      <c r="G5" s="3">
        <f t="shared" si="4"/>
        <v>419</v>
      </c>
      <c r="H5" s="3">
        <f t="shared" si="4"/>
        <v>419</v>
      </c>
      <c r="I5" s="3">
        <f t="shared" si="4"/>
        <v>419</v>
      </c>
      <c r="J5" s="3">
        <f t="shared" si="4"/>
        <v>419</v>
      </c>
      <c r="K5" s="3">
        <f t="shared" si="4"/>
        <v>419</v>
      </c>
      <c r="L5" s="3">
        <f t="shared" si="4"/>
        <v>419</v>
      </c>
      <c r="M5" s="3">
        <f t="shared" si="4"/>
        <v>419</v>
      </c>
      <c r="N5" s="3">
        <f t="shared" si="4"/>
        <v>419</v>
      </c>
      <c r="O5" s="3">
        <f t="shared" si="5"/>
        <v>419</v>
      </c>
      <c r="P5" s="3">
        <f t="shared" si="5"/>
        <v>419</v>
      </c>
      <c r="Q5" s="3">
        <f t="shared" si="5"/>
        <v>419</v>
      </c>
      <c r="R5" s="3">
        <f t="shared" si="5"/>
        <v>419</v>
      </c>
      <c r="S5" s="3">
        <f t="shared" si="5"/>
        <v>419</v>
      </c>
      <c r="T5" s="3">
        <f t="shared" si="5"/>
        <v>419</v>
      </c>
      <c r="U5" s="3">
        <f t="shared" si="5"/>
        <v>419</v>
      </c>
      <c r="V5" s="3">
        <f t="shared" si="5"/>
        <v>419</v>
      </c>
      <c r="W5" s="3">
        <f t="shared" si="5"/>
        <v>419</v>
      </c>
      <c r="X5" s="3">
        <f t="shared" si="5"/>
        <v>419</v>
      </c>
      <c r="Y5" s="3">
        <f t="shared" si="6"/>
        <v>419</v>
      </c>
      <c r="Z5" s="3">
        <f t="shared" si="6"/>
        <v>419</v>
      </c>
      <c r="AA5" s="3">
        <f t="shared" si="6"/>
        <v>419</v>
      </c>
      <c r="AB5" s="3">
        <f t="shared" si="6"/>
        <v>419</v>
      </c>
      <c r="AC5" s="3">
        <f t="shared" si="6"/>
        <v>419</v>
      </c>
      <c r="AD5" s="3">
        <f t="shared" si="6"/>
        <v>419</v>
      </c>
      <c r="AE5" s="3">
        <f t="shared" si="6"/>
        <v>419</v>
      </c>
      <c r="AF5" s="3">
        <f t="shared" si="6"/>
        <v>419</v>
      </c>
      <c r="AG5" s="3">
        <f t="shared" si="6"/>
        <v>419</v>
      </c>
      <c r="AH5" s="3">
        <f t="shared" si="6"/>
        <v>419</v>
      </c>
      <c r="AI5" s="3">
        <f t="shared" si="7"/>
        <v>419</v>
      </c>
      <c r="AJ5" s="3">
        <f t="shared" si="7"/>
        <v>419</v>
      </c>
      <c r="AK5" s="3">
        <f t="shared" si="7"/>
        <v>419</v>
      </c>
      <c r="AL5" s="3">
        <f t="shared" si="7"/>
        <v>419</v>
      </c>
      <c r="AM5" s="3">
        <f t="shared" si="7"/>
        <v>419</v>
      </c>
      <c r="AN5" s="3">
        <f t="shared" si="7"/>
        <v>419</v>
      </c>
      <c r="AO5" s="3">
        <f t="shared" si="7"/>
        <v>419</v>
      </c>
      <c r="AP5" s="3">
        <f t="shared" si="7"/>
        <v>419</v>
      </c>
      <c r="AQ5" s="3">
        <f t="shared" si="7"/>
        <v>419</v>
      </c>
      <c r="AR5" s="3">
        <f t="shared" si="7"/>
        <v>419</v>
      </c>
      <c r="AS5" s="3">
        <f t="shared" si="8"/>
        <v>419</v>
      </c>
      <c r="AT5" s="3">
        <f t="shared" si="8"/>
        <v>419</v>
      </c>
      <c r="AU5" s="3">
        <f t="shared" si="8"/>
        <v>419</v>
      </c>
      <c r="AV5" s="3">
        <f t="shared" si="8"/>
        <v>419</v>
      </c>
      <c r="AW5" s="3">
        <f t="shared" si="8"/>
        <v>419</v>
      </c>
      <c r="AX5" s="3">
        <f t="shared" si="8"/>
        <v>419</v>
      </c>
      <c r="AY5" s="3">
        <f t="shared" si="8"/>
        <v>419</v>
      </c>
      <c r="AZ5" s="3">
        <f t="shared" si="8"/>
        <v>419</v>
      </c>
      <c r="BA5" s="3">
        <f t="shared" si="8"/>
        <v>419</v>
      </c>
      <c r="BB5" s="3">
        <f t="shared" si="8"/>
        <v>419</v>
      </c>
      <c r="BC5" s="3">
        <f t="shared" si="9"/>
        <v>419</v>
      </c>
      <c r="BD5" s="3">
        <f t="shared" si="9"/>
        <v>419</v>
      </c>
      <c r="BE5" s="3">
        <f t="shared" si="9"/>
        <v>419</v>
      </c>
      <c r="BF5" s="3">
        <f t="shared" si="9"/>
        <v>419</v>
      </c>
      <c r="BG5" s="3">
        <f t="shared" si="9"/>
        <v>419</v>
      </c>
      <c r="BH5" s="3">
        <f t="shared" si="9"/>
        <v>419</v>
      </c>
      <c r="BI5" s="3">
        <f t="shared" si="9"/>
        <v>419</v>
      </c>
      <c r="BJ5" s="3">
        <f t="shared" si="9"/>
        <v>419</v>
      </c>
      <c r="BK5" s="3">
        <f t="shared" si="9"/>
        <v>419</v>
      </c>
      <c r="BL5" s="3">
        <f t="shared" si="9"/>
        <v>419</v>
      </c>
      <c r="BM5" s="3">
        <f t="shared" si="10"/>
        <v>419</v>
      </c>
      <c r="BN5" s="3">
        <f t="shared" si="10"/>
        <v>419</v>
      </c>
      <c r="BO5" s="3">
        <f t="shared" si="10"/>
        <v>419</v>
      </c>
      <c r="BP5" s="3">
        <f t="shared" si="10"/>
        <v>419</v>
      </c>
      <c r="BQ5" s="3">
        <f t="shared" si="10"/>
        <v>419</v>
      </c>
      <c r="BR5" s="3">
        <f t="shared" si="10"/>
        <v>419</v>
      </c>
      <c r="BS5" s="3">
        <f t="shared" si="10"/>
        <v>419</v>
      </c>
      <c r="BT5" s="3">
        <f t="shared" si="10"/>
        <v>419</v>
      </c>
      <c r="BU5" s="3">
        <f t="shared" si="10"/>
        <v>419</v>
      </c>
      <c r="BV5" s="3">
        <f t="shared" si="10"/>
        <v>419</v>
      </c>
      <c r="BW5" s="3">
        <f t="shared" si="11"/>
        <v>419</v>
      </c>
      <c r="BX5" s="3">
        <f t="shared" si="11"/>
        <v>419</v>
      </c>
      <c r="BY5" s="3">
        <f t="shared" si="11"/>
        <v>419</v>
      </c>
      <c r="BZ5" s="3">
        <f t="shared" si="11"/>
        <v>419</v>
      </c>
      <c r="CA5" s="3">
        <f t="shared" si="11"/>
        <v>419</v>
      </c>
      <c r="CB5" s="3">
        <f t="shared" si="11"/>
        <v>419</v>
      </c>
      <c r="CC5" s="3">
        <f t="shared" si="11"/>
        <v>419</v>
      </c>
      <c r="CD5" s="3">
        <f t="shared" si="11"/>
        <v>419</v>
      </c>
      <c r="CE5" s="3">
        <f t="shared" si="11"/>
        <v>419</v>
      </c>
      <c r="CF5" s="3">
        <f t="shared" si="11"/>
        <v>419</v>
      </c>
      <c r="CG5" s="3">
        <f t="shared" si="12"/>
        <v>419</v>
      </c>
      <c r="CH5" s="3">
        <f t="shared" si="12"/>
        <v>419</v>
      </c>
      <c r="CI5" s="3">
        <f t="shared" si="12"/>
        <v>419</v>
      </c>
      <c r="CJ5" s="3">
        <f t="shared" si="12"/>
        <v>419</v>
      </c>
      <c r="CK5" s="3">
        <f t="shared" si="12"/>
        <v>419</v>
      </c>
      <c r="CL5" s="3">
        <f t="shared" si="12"/>
        <v>419</v>
      </c>
      <c r="CM5" s="3">
        <f t="shared" si="12"/>
        <v>419</v>
      </c>
      <c r="CN5" s="3">
        <f t="shared" si="12"/>
        <v>419</v>
      </c>
      <c r="CO5" s="3">
        <f t="shared" si="12"/>
        <v>419</v>
      </c>
      <c r="CP5" s="3">
        <f t="shared" si="12"/>
        <v>419</v>
      </c>
      <c r="CQ5" s="3">
        <f t="shared" si="13"/>
        <v>419</v>
      </c>
      <c r="CR5" s="3">
        <f t="shared" si="13"/>
        <v>419</v>
      </c>
      <c r="CS5" s="3">
        <f t="shared" si="13"/>
        <v>419</v>
      </c>
      <c r="CT5" s="3">
        <f t="shared" si="13"/>
        <v>419</v>
      </c>
      <c r="CU5" s="3">
        <f t="shared" si="13"/>
        <v>419</v>
      </c>
      <c r="CV5" s="3">
        <f t="shared" si="13"/>
        <v>419</v>
      </c>
      <c r="CW5" s="3">
        <f t="shared" si="13"/>
        <v>419</v>
      </c>
      <c r="CX5" s="3">
        <f t="shared" si="13"/>
        <v>419</v>
      </c>
      <c r="CY5" s="3">
        <f t="shared" si="13"/>
        <v>419</v>
      </c>
      <c r="CZ5" s="3">
        <f t="shared" si="13"/>
        <v>419</v>
      </c>
      <c r="DA5" s="3">
        <f t="shared" si="13"/>
        <v>419</v>
      </c>
      <c r="DB5" s="3">
        <f t="shared" si="14"/>
        <v>419</v>
      </c>
    </row>
    <row r="6" spans="1:106" x14ac:dyDescent="0.3">
      <c r="A6" s="3">
        <f>DATOS_MODELO!Y137</f>
        <v>461</v>
      </c>
      <c r="B6" s="3">
        <f>DATOS_MODELO!AA137</f>
        <v>428.35423134574842</v>
      </c>
      <c r="C6" s="15">
        <f t="shared" si="3"/>
        <v>7.0815116386662824E-2</v>
      </c>
      <c r="E6" s="3">
        <f t="shared" si="4"/>
        <v>0</v>
      </c>
      <c r="F6" s="3">
        <f t="shared" si="4"/>
        <v>0</v>
      </c>
      <c r="G6" s="3">
        <f t="shared" si="4"/>
        <v>0</v>
      </c>
      <c r="H6" s="3">
        <f t="shared" si="4"/>
        <v>0</v>
      </c>
      <c r="I6" s="3">
        <f t="shared" si="4"/>
        <v>0</v>
      </c>
      <c r="J6" s="3">
        <f t="shared" si="4"/>
        <v>0</v>
      </c>
      <c r="K6" s="3">
        <f t="shared" si="4"/>
        <v>0</v>
      </c>
      <c r="L6" s="3">
        <f t="shared" si="4"/>
        <v>0</v>
      </c>
      <c r="M6" s="3">
        <f t="shared" si="4"/>
        <v>461</v>
      </c>
      <c r="N6" s="3">
        <f t="shared" si="4"/>
        <v>461</v>
      </c>
      <c r="O6" s="3">
        <f t="shared" si="5"/>
        <v>461</v>
      </c>
      <c r="P6" s="3">
        <f t="shared" si="5"/>
        <v>461</v>
      </c>
      <c r="Q6" s="3">
        <f t="shared" si="5"/>
        <v>461</v>
      </c>
      <c r="R6" s="3">
        <f t="shared" si="5"/>
        <v>461</v>
      </c>
      <c r="S6" s="3">
        <f t="shared" si="5"/>
        <v>461</v>
      </c>
      <c r="T6" s="3">
        <f t="shared" si="5"/>
        <v>461</v>
      </c>
      <c r="U6" s="3">
        <f t="shared" si="5"/>
        <v>461</v>
      </c>
      <c r="V6" s="3">
        <f t="shared" si="5"/>
        <v>461</v>
      </c>
      <c r="W6" s="3">
        <f t="shared" si="5"/>
        <v>461</v>
      </c>
      <c r="X6" s="3">
        <f t="shared" si="5"/>
        <v>461</v>
      </c>
      <c r="Y6" s="3">
        <f t="shared" si="6"/>
        <v>461</v>
      </c>
      <c r="Z6" s="3">
        <f t="shared" si="6"/>
        <v>461</v>
      </c>
      <c r="AA6" s="3">
        <f t="shared" si="6"/>
        <v>461</v>
      </c>
      <c r="AB6" s="3">
        <f t="shared" si="6"/>
        <v>461</v>
      </c>
      <c r="AC6" s="3">
        <f t="shared" si="6"/>
        <v>461</v>
      </c>
      <c r="AD6" s="3">
        <f t="shared" si="6"/>
        <v>461</v>
      </c>
      <c r="AE6" s="3">
        <f t="shared" si="6"/>
        <v>461</v>
      </c>
      <c r="AF6" s="3">
        <f t="shared" si="6"/>
        <v>461</v>
      </c>
      <c r="AG6" s="3">
        <f t="shared" si="6"/>
        <v>461</v>
      </c>
      <c r="AH6" s="3">
        <f t="shared" si="6"/>
        <v>461</v>
      </c>
      <c r="AI6" s="3">
        <f t="shared" si="7"/>
        <v>461</v>
      </c>
      <c r="AJ6" s="3">
        <f t="shared" si="7"/>
        <v>461</v>
      </c>
      <c r="AK6" s="3">
        <f t="shared" si="7"/>
        <v>461</v>
      </c>
      <c r="AL6" s="3">
        <f t="shared" si="7"/>
        <v>461</v>
      </c>
      <c r="AM6" s="3">
        <f t="shared" si="7"/>
        <v>461</v>
      </c>
      <c r="AN6" s="3">
        <f t="shared" si="7"/>
        <v>461</v>
      </c>
      <c r="AO6" s="3">
        <f t="shared" si="7"/>
        <v>461</v>
      </c>
      <c r="AP6" s="3">
        <f t="shared" si="7"/>
        <v>461</v>
      </c>
      <c r="AQ6" s="3">
        <f t="shared" si="7"/>
        <v>461</v>
      </c>
      <c r="AR6" s="3">
        <f t="shared" si="7"/>
        <v>461</v>
      </c>
      <c r="AS6" s="3">
        <f t="shared" si="8"/>
        <v>461</v>
      </c>
      <c r="AT6" s="3">
        <f t="shared" si="8"/>
        <v>461</v>
      </c>
      <c r="AU6" s="3">
        <f t="shared" si="8"/>
        <v>461</v>
      </c>
      <c r="AV6" s="3">
        <f t="shared" si="8"/>
        <v>461</v>
      </c>
      <c r="AW6" s="3">
        <f t="shared" si="8"/>
        <v>461</v>
      </c>
      <c r="AX6" s="3">
        <f t="shared" si="8"/>
        <v>461</v>
      </c>
      <c r="AY6" s="3">
        <f t="shared" si="8"/>
        <v>461</v>
      </c>
      <c r="AZ6" s="3">
        <f t="shared" si="8"/>
        <v>461</v>
      </c>
      <c r="BA6" s="3">
        <f t="shared" si="8"/>
        <v>461</v>
      </c>
      <c r="BB6" s="3">
        <f t="shared" si="8"/>
        <v>461</v>
      </c>
      <c r="BC6" s="3">
        <f t="shared" si="9"/>
        <v>461</v>
      </c>
      <c r="BD6" s="3">
        <f t="shared" si="9"/>
        <v>461</v>
      </c>
      <c r="BE6" s="3">
        <f t="shared" si="9"/>
        <v>461</v>
      </c>
      <c r="BF6" s="3">
        <f t="shared" si="9"/>
        <v>461</v>
      </c>
      <c r="BG6" s="3">
        <f t="shared" si="9"/>
        <v>461</v>
      </c>
      <c r="BH6" s="3">
        <f t="shared" si="9"/>
        <v>461</v>
      </c>
      <c r="BI6" s="3">
        <f t="shared" si="9"/>
        <v>461</v>
      </c>
      <c r="BJ6" s="3">
        <f t="shared" si="9"/>
        <v>461</v>
      </c>
      <c r="BK6" s="3">
        <f t="shared" si="9"/>
        <v>461</v>
      </c>
      <c r="BL6" s="3">
        <f t="shared" si="9"/>
        <v>461</v>
      </c>
      <c r="BM6" s="3">
        <f t="shared" si="10"/>
        <v>461</v>
      </c>
      <c r="BN6" s="3">
        <f t="shared" si="10"/>
        <v>461</v>
      </c>
      <c r="BO6" s="3">
        <f t="shared" si="10"/>
        <v>461</v>
      </c>
      <c r="BP6" s="3">
        <f t="shared" si="10"/>
        <v>461</v>
      </c>
      <c r="BQ6" s="3">
        <f t="shared" si="10"/>
        <v>461</v>
      </c>
      <c r="BR6" s="3">
        <f t="shared" si="10"/>
        <v>461</v>
      </c>
      <c r="BS6" s="3">
        <f t="shared" si="10"/>
        <v>461</v>
      </c>
      <c r="BT6" s="3">
        <f t="shared" si="10"/>
        <v>461</v>
      </c>
      <c r="BU6" s="3">
        <f t="shared" si="10"/>
        <v>461</v>
      </c>
      <c r="BV6" s="3">
        <f t="shared" si="10"/>
        <v>461</v>
      </c>
      <c r="BW6" s="3">
        <f t="shared" si="11"/>
        <v>461</v>
      </c>
      <c r="BX6" s="3">
        <f t="shared" si="11"/>
        <v>461</v>
      </c>
      <c r="BY6" s="3">
        <f t="shared" si="11"/>
        <v>461</v>
      </c>
      <c r="BZ6" s="3">
        <f t="shared" si="11"/>
        <v>461</v>
      </c>
      <c r="CA6" s="3">
        <f t="shared" si="11"/>
        <v>461</v>
      </c>
      <c r="CB6" s="3">
        <f t="shared" si="11"/>
        <v>461</v>
      </c>
      <c r="CC6" s="3">
        <f t="shared" si="11"/>
        <v>461</v>
      </c>
      <c r="CD6" s="3">
        <f t="shared" si="11"/>
        <v>461</v>
      </c>
      <c r="CE6" s="3">
        <f t="shared" si="11"/>
        <v>461</v>
      </c>
      <c r="CF6" s="3">
        <f t="shared" si="11"/>
        <v>461</v>
      </c>
      <c r="CG6" s="3">
        <f t="shared" si="12"/>
        <v>461</v>
      </c>
      <c r="CH6" s="3">
        <f t="shared" si="12"/>
        <v>461</v>
      </c>
      <c r="CI6" s="3">
        <f t="shared" si="12"/>
        <v>461</v>
      </c>
      <c r="CJ6" s="3">
        <f t="shared" si="12"/>
        <v>461</v>
      </c>
      <c r="CK6" s="3">
        <f t="shared" si="12"/>
        <v>461</v>
      </c>
      <c r="CL6" s="3">
        <f t="shared" si="12"/>
        <v>461</v>
      </c>
      <c r="CM6" s="3">
        <f t="shared" si="12"/>
        <v>461</v>
      </c>
      <c r="CN6" s="3">
        <f t="shared" si="12"/>
        <v>461</v>
      </c>
      <c r="CO6" s="3">
        <f t="shared" si="12"/>
        <v>461</v>
      </c>
      <c r="CP6" s="3">
        <f t="shared" si="12"/>
        <v>461</v>
      </c>
      <c r="CQ6" s="3">
        <f t="shared" si="13"/>
        <v>461</v>
      </c>
      <c r="CR6" s="3">
        <f t="shared" si="13"/>
        <v>461</v>
      </c>
      <c r="CS6" s="3">
        <f t="shared" si="13"/>
        <v>461</v>
      </c>
      <c r="CT6" s="3">
        <f t="shared" si="13"/>
        <v>461</v>
      </c>
      <c r="CU6" s="3">
        <f t="shared" si="13"/>
        <v>461</v>
      </c>
      <c r="CV6" s="3">
        <f t="shared" si="13"/>
        <v>461</v>
      </c>
      <c r="CW6" s="3">
        <f t="shared" si="13"/>
        <v>461</v>
      </c>
      <c r="CX6" s="3">
        <f t="shared" si="13"/>
        <v>461</v>
      </c>
      <c r="CY6" s="3">
        <f t="shared" si="13"/>
        <v>461</v>
      </c>
      <c r="CZ6" s="3">
        <f t="shared" si="13"/>
        <v>461</v>
      </c>
      <c r="DA6" s="3">
        <f t="shared" si="13"/>
        <v>461</v>
      </c>
      <c r="DB6" s="3">
        <f t="shared" si="14"/>
        <v>461</v>
      </c>
    </row>
    <row r="7" spans="1:106" x14ac:dyDescent="0.3">
      <c r="A7" s="3">
        <f>DATOS_MODELO!Y138</f>
        <v>472</v>
      </c>
      <c r="B7" s="3">
        <f>DATOS_MODELO!AA138</f>
        <v>463.93292781960582</v>
      </c>
      <c r="C7" s="15">
        <f t="shared" si="3"/>
        <v>1.7091254619479135E-2</v>
      </c>
      <c r="E7" s="3">
        <f t="shared" si="4"/>
        <v>0</v>
      </c>
      <c r="F7" s="3">
        <f t="shared" si="4"/>
        <v>0</v>
      </c>
      <c r="G7" s="3">
        <f t="shared" si="4"/>
        <v>472</v>
      </c>
      <c r="H7" s="3">
        <f t="shared" si="4"/>
        <v>472</v>
      </c>
      <c r="I7" s="3">
        <f t="shared" si="4"/>
        <v>472</v>
      </c>
      <c r="J7" s="3">
        <f t="shared" si="4"/>
        <v>472</v>
      </c>
      <c r="K7" s="3">
        <f t="shared" si="4"/>
        <v>472</v>
      </c>
      <c r="L7" s="3">
        <f t="shared" si="4"/>
        <v>472</v>
      </c>
      <c r="M7" s="3">
        <f t="shared" si="4"/>
        <v>472</v>
      </c>
      <c r="N7" s="3">
        <f t="shared" si="4"/>
        <v>472</v>
      </c>
      <c r="O7" s="3">
        <f t="shared" si="5"/>
        <v>472</v>
      </c>
      <c r="P7" s="3">
        <f t="shared" si="5"/>
        <v>472</v>
      </c>
      <c r="Q7" s="3">
        <f t="shared" si="5"/>
        <v>472</v>
      </c>
      <c r="R7" s="3">
        <f t="shared" si="5"/>
        <v>472</v>
      </c>
      <c r="S7" s="3">
        <f t="shared" si="5"/>
        <v>472</v>
      </c>
      <c r="T7" s="3">
        <f t="shared" si="5"/>
        <v>472</v>
      </c>
      <c r="U7" s="3">
        <f t="shared" si="5"/>
        <v>472</v>
      </c>
      <c r="V7" s="3">
        <f t="shared" si="5"/>
        <v>472</v>
      </c>
      <c r="W7" s="3">
        <f t="shared" si="5"/>
        <v>472</v>
      </c>
      <c r="X7" s="3">
        <f t="shared" si="5"/>
        <v>472</v>
      </c>
      <c r="Y7" s="3">
        <f t="shared" si="6"/>
        <v>472</v>
      </c>
      <c r="Z7" s="3">
        <f t="shared" si="6"/>
        <v>472</v>
      </c>
      <c r="AA7" s="3">
        <f t="shared" si="6"/>
        <v>472</v>
      </c>
      <c r="AB7" s="3">
        <f t="shared" si="6"/>
        <v>472</v>
      </c>
      <c r="AC7" s="3">
        <f t="shared" si="6"/>
        <v>472</v>
      </c>
      <c r="AD7" s="3">
        <f t="shared" si="6"/>
        <v>472</v>
      </c>
      <c r="AE7" s="3">
        <f t="shared" si="6"/>
        <v>472</v>
      </c>
      <c r="AF7" s="3">
        <f t="shared" si="6"/>
        <v>472</v>
      </c>
      <c r="AG7" s="3">
        <f t="shared" si="6"/>
        <v>472</v>
      </c>
      <c r="AH7" s="3">
        <f t="shared" si="6"/>
        <v>472</v>
      </c>
      <c r="AI7" s="3">
        <f t="shared" si="7"/>
        <v>472</v>
      </c>
      <c r="AJ7" s="3">
        <f t="shared" si="7"/>
        <v>472</v>
      </c>
      <c r="AK7" s="3">
        <f t="shared" si="7"/>
        <v>472</v>
      </c>
      <c r="AL7" s="3">
        <f t="shared" si="7"/>
        <v>472</v>
      </c>
      <c r="AM7" s="3">
        <f t="shared" si="7"/>
        <v>472</v>
      </c>
      <c r="AN7" s="3">
        <f t="shared" si="7"/>
        <v>472</v>
      </c>
      <c r="AO7" s="3">
        <f t="shared" si="7"/>
        <v>472</v>
      </c>
      <c r="AP7" s="3">
        <f t="shared" si="7"/>
        <v>472</v>
      </c>
      <c r="AQ7" s="3">
        <f t="shared" si="7"/>
        <v>472</v>
      </c>
      <c r="AR7" s="3">
        <f t="shared" si="7"/>
        <v>472</v>
      </c>
      <c r="AS7" s="3">
        <f t="shared" si="8"/>
        <v>472</v>
      </c>
      <c r="AT7" s="3">
        <f t="shared" si="8"/>
        <v>472</v>
      </c>
      <c r="AU7" s="3">
        <f t="shared" si="8"/>
        <v>472</v>
      </c>
      <c r="AV7" s="3">
        <f t="shared" si="8"/>
        <v>472</v>
      </c>
      <c r="AW7" s="3">
        <f t="shared" si="8"/>
        <v>472</v>
      </c>
      <c r="AX7" s="3">
        <f t="shared" si="8"/>
        <v>472</v>
      </c>
      <c r="AY7" s="3">
        <f t="shared" si="8"/>
        <v>472</v>
      </c>
      <c r="AZ7" s="3">
        <f t="shared" si="8"/>
        <v>472</v>
      </c>
      <c r="BA7" s="3">
        <f t="shared" si="8"/>
        <v>472</v>
      </c>
      <c r="BB7" s="3">
        <f t="shared" si="8"/>
        <v>472</v>
      </c>
      <c r="BC7" s="3">
        <f t="shared" si="9"/>
        <v>472</v>
      </c>
      <c r="BD7" s="3">
        <f t="shared" si="9"/>
        <v>472</v>
      </c>
      <c r="BE7" s="3">
        <f t="shared" si="9"/>
        <v>472</v>
      </c>
      <c r="BF7" s="3">
        <f t="shared" si="9"/>
        <v>472</v>
      </c>
      <c r="BG7" s="3">
        <f t="shared" si="9"/>
        <v>472</v>
      </c>
      <c r="BH7" s="3">
        <f t="shared" si="9"/>
        <v>472</v>
      </c>
      <c r="BI7" s="3">
        <f t="shared" si="9"/>
        <v>472</v>
      </c>
      <c r="BJ7" s="3">
        <f t="shared" si="9"/>
        <v>472</v>
      </c>
      <c r="BK7" s="3">
        <f t="shared" si="9"/>
        <v>472</v>
      </c>
      <c r="BL7" s="3">
        <f t="shared" si="9"/>
        <v>472</v>
      </c>
      <c r="BM7" s="3">
        <f t="shared" si="10"/>
        <v>472</v>
      </c>
      <c r="BN7" s="3">
        <f t="shared" si="10"/>
        <v>472</v>
      </c>
      <c r="BO7" s="3">
        <f t="shared" si="10"/>
        <v>472</v>
      </c>
      <c r="BP7" s="3">
        <f t="shared" si="10"/>
        <v>472</v>
      </c>
      <c r="BQ7" s="3">
        <f t="shared" si="10"/>
        <v>472</v>
      </c>
      <c r="BR7" s="3">
        <f t="shared" si="10"/>
        <v>472</v>
      </c>
      <c r="BS7" s="3">
        <f t="shared" si="10"/>
        <v>472</v>
      </c>
      <c r="BT7" s="3">
        <f t="shared" si="10"/>
        <v>472</v>
      </c>
      <c r="BU7" s="3">
        <f t="shared" si="10"/>
        <v>472</v>
      </c>
      <c r="BV7" s="3">
        <f t="shared" si="10"/>
        <v>472</v>
      </c>
      <c r="BW7" s="3">
        <f t="shared" si="11"/>
        <v>472</v>
      </c>
      <c r="BX7" s="3">
        <f t="shared" si="11"/>
        <v>472</v>
      </c>
      <c r="BY7" s="3">
        <f t="shared" si="11"/>
        <v>472</v>
      </c>
      <c r="BZ7" s="3">
        <f t="shared" si="11"/>
        <v>472</v>
      </c>
      <c r="CA7" s="3">
        <f t="shared" si="11"/>
        <v>472</v>
      </c>
      <c r="CB7" s="3">
        <f t="shared" si="11"/>
        <v>472</v>
      </c>
      <c r="CC7" s="3">
        <f t="shared" si="11"/>
        <v>472</v>
      </c>
      <c r="CD7" s="3">
        <f t="shared" si="11"/>
        <v>472</v>
      </c>
      <c r="CE7" s="3">
        <f t="shared" si="11"/>
        <v>472</v>
      </c>
      <c r="CF7" s="3">
        <f t="shared" si="11"/>
        <v>472</v>
      </c>
      <c r="CG7" s="3">
        <f t="shared" si="12"/>
        <v>472</v>
      </c>
      <c r="CH7" s="3">
        <f t="shared" si="12"/>
        <v>472</v>
      </c>
      <c r="CI7" s="3">
        <f t="shared" si="12"/>
        <v>472</v>
      </c>
      <c r="CJ7" s="3">
        <f t="shared" si="12"/>
        <v>472</v>
      </c>
      <c r="CK7" s="3">
        <f t="shared" si="12"/>
        <v>472</v>
      </c>
      <c r="CL7" s="3">
        <f t="shared" si="12"/>
        <v>472</v>
      </c>
      <c r="CM7" s="3">
        <f t="shared" si="12"/>
        <v>472</v>
      </c>
      <c r="CN7" s="3">
        <f t="shared" si="12"/>
        <v>472</v>
      </c>
      <c r="CO7" s="3">
        <f t="shared" si="12"/>
        <v>472</v>
      </c>
      <c r="CP7" s="3">
        <f t="shared" si="12"/>
        <v>472</v>
      </c>
      <c r="CQ7" s="3">
        <f t="shared" si="13"/>
        <v>472</v>
      </c>
      <c r="CR7" s="3">
        <f t="shared" si="13"/>
        <v>472</v>
      </c>
      <c r="CS7" s="3">
        <f t="shared" si="13"/>
        <v>472</v>
      </c>
      <c r="CT7" s="3">
        <f t="shared" si="13"/>
        <v>472</v>
      </c>
      <c r="CU7" s="3">
        <f t="shared" si="13"/>
        <v>472</v>
      </c>
      <c r="CV7" s="3">
        <f t="shared" si="13"/>
        <v>472</v>
      </c>
      <c r="CW7" s="3">
        <f t="shared" si="13"/>
        <v>472</v>
      </c>
      <c r="CX7" s="3">
        <f t="shared" si="13"/>
        <v>472</v>
      </c>
      <c r="CY7" s="3">
        <f t="shared" si="13"/>
        <v>472</v>
      </c>
      <c r="CZ7" s="3">
        <f t="shared" si="13"/>
        <v>472</v>
      </c>
      <c r="DA7" s="3">
        <f t="shared" si="13"/>
        <v>472</v>
      </c>
      <c r="DB7" s="3">
        <f t="shared" si="14"/>
        <v>472</v>
      </c>
    </row>
    <row r="8" spans="1:106" x14ac:dyDescent="0.3">
      <c r="A8" s="3">
        <f>DATOS_MODELO!Y139</f>
        <v>535</v>
      </c>
      <c r="B8" s="3">
        <f>DATOS_MODELO!AA139</f>
        <v>513.24857812433766</v>
      </c>
      <c r="C8" s="15">
        <f t="shared" si="3"/>
        <v>4.0656863318994985E-2</v>
      </c>
      <c r="E8" s="3">
        <f t="shared" si="4"/>
        <v>0</v>
      </c>
      <c r="F8" s="3">
        <f t="shared" si="4"/>
        <v>0</v>
      </c>
      <c r="G8" s="3">
        <f t="shared" si="4"/>
        <v>0</v>
      </c>
      <c r="H8" s="3">
        <f t="shared" si="4"/>
        <v>0</v>
      </c>
      <c r="I8" s="3">
        <f t="shared" si="4"/>
        <v>0</v>
      </c>
      <c r="J8" s="3">
        <f t="shared" si="4"/>
        <v>535</v>
      </c>
      <c r="K8" s="3">
        <f t="shared" si="4"/>
        <v>535</v>
      </c>
      <c r="L8" s="3">
        <f t="shared" si="4"/>
        <v>535</v>
      </c>
      <c r="M8" s="3">
        <f t="shared" si="4"/>
        <v>535</v>
      </c>
      <c r="N8" s="3">
        <f t="shared" si="4"/>
        <v>535</v>
      </c>
      <c r="O8" s="3">
        <f t="shared" si="5"/>
        <v>535</v>
      </c>
      <c r="P8" s="3">
        <f t="shared" si="5"/>
        <v>535</v>
      </c>
      <c r="Q8" s="3">
        <f t="shared" si="5"/>
        <v>535</v>
      </c>
      <c r="R8" s="3">
        <f t="shared" si="5"/>
        <v>535</v>
      </c>
      <c r="S8" s="3">
        <f t="shared" si="5"/>
        <v>535</v>
      </c>
      <c r="T8" s="3">
        <f t="shared" si="5"/>
        <v>535</v>
      </c>
      <c r="U8" s="3">
        <f t="shared" si="5"/>
        <v>535</v>
      </c>
      <c r="V8" s="3">
        <f t="shared" si="5"/>
        <v>535</v>
      </c>
      <c r="W8" s="3">
        <f t="shared" si="5"/>
        <v>535</v>
      </c>
      <c r="X8" s="3">
        <f t="shared" si="5"/>
        <v>535</v>
      </c>
      <c r="Y8" s="3">
        <f t="shared" si="6"/>
        <v>535</v>
      </c>
      <c r="Z8" s="3">
        <f t="shared" si="6"/>
        <v>535</v>
      </c>
      <c r="AA8" s="3">
        <f t="shared" si="6"/>
        <v>535</v>
      </c>
      <c r="AB8" s="3">
        <f t="shared" si="6"/>
        <v>535</v>
      </c>
      <c r="AC8" s="3">
        <f t="shared" si="6"/>
        <v>535</v>
      </c>
      <c r="AD8" s="3">
        <f t="shared" si="6"/>
        <v>535</v>
      </c>
      <c r="AE8" s="3">
        <f t="shared" si="6"/>
        <v>535</v>
      </c>
      <c r="AF8" s="3">
        <f t="shared" si="6"/>
        <v>535</v>
      </c>
      <c r="AG8" s="3">
        <f t="shared" si="6"/>
        <v>535</v>
      </c>
      <c r="AH8" s="3">
        <f t="shared" si="6"/>
        <v>535</v>
      </c>
      <c r="AI8" s="3">
        <f t="shared" si="7"/>
        <v>535</v>
      </c>
      <c r="AJ8" s="3">
        <f t="shared" si="7"/>
        <v>535</v>
      </c>
      <c r="AK8" s="3">
        <f t="shared" si="7"/>
        <v>535</v>
      </c>
      <c r="AL8" s="3">
        <f t="shared" si="7"/>
        <v>535</v>
      </c>
      <c r="AM8" s="3">
        <f t="shared" si="7"/>
        <v>535</v>
      </c>
      <c r="AN8" s="3">
        <f t="shared" si="7"/>
        <v>535</v>
      </c>
      <c r="AO8" s="3">
        <f t="shared" si="7"/>
        <v>535</v>
      </c>
      <c r="AP8" s="3">
        <f t="shared" si="7"/>
        <v>535</v>
      </c>
      <c r="AQ8" s="3">
        <f t="shared" si="7"/>
        <v>535</v>
      </c>
      <c r="AR8" s="3">
        <f t="shared" si="7"/>
        <v>535</v>
      </c>
      <c r="AS8" s="3">
        <f t="shared" si="8"/>
        <v>535</v>
      </c>
      <c r="AT8" s="3">
        <f t="shared" si="8"/>
        <v>535</v>
      </c>
      <c r="AU8" s="3">
        <f t="shared" si="8"/>
        <v>535</v>
      </c>
      <c r="AV8" s="3">
        <f t="shared" si="8"/>
        <v>535</v>
      </c>
      <c r="AW8" s="3">
        <f t="shared" si="8"/>
        <v>535</v>
      </c>
      <c r="AX8" s="3">
        <f t="shared" si="8"/>
        <v>535</v>
      </c>
      <c r="AY8" s="3">
        <f t="shared" si="8"/>
        <v>535</v>
      </c>
      <c r="AZ8" s="3">
        <f t="shared" si="8"/>
        <v>535</v>
      </c>
      <c r="BA8" s="3">
        <f t="shared" si="8"/>
        <v>535</v>
      </c>
      <c r="BB8" s="3">
        <f t="shared" si="8"/>
        <v>535</v>
      </c>
      <c r="BC8" s="3">
        <f t="shared" si="9"/>
        <v>535</v>
      </c>
      <c r="BD8" s="3">
        <f t="shared" si="9"/>
        <v>535</v>
      </c>
      <c r="BE8" s="3">
        <f t="shared" si="9"/>
        <v>535</v>
      </c>
      <c r="BF8" s="3">
        <f t="shared" si="9"/>
        <v>535</v>
      </c>
      <c r="BG8" s="3">
        <f t="shared" si="9"/>
        <v>535</v>
      </c>
      <c r="BH8" s="3">
        <f t="shared" si="9"/>
        <v>535</v>
      </c>
      <c r="BI8" s="3">
        <f t="shared" si="9"/>
        <v>535</v>
      </c>
      <c r="BJ8" s="3">
        <f t="shared" si="9"/>
        <v>535</v>
      </c>
      <c r="BK8" s="3">
        <f t="shared" si="9"/>
        <v>535</v>
      </c>
      <c r="BL8" s="3">
        <f t="shared" si="9"/>
        <v>535</v>
      </c>
      <c r="BM8" s="3">
        <f t="shared" si="10"/>
        <v>535</v>
      </c>
      <c r="BN8" s="3">
        <f t="shared" si="10"/>
        <v>535</v>
      </c>
      <c r="BO8" s="3">
        <f t="shared" si="10"/>
        <v>535</v>
      </c>
      <c r="BP8" s="3">
        <f t="shared" si="10"/>
        <v>535</v>
      </c>
      <c r="BQ8" s="3">
        <f t="shared" si="10"/>
        <v>535</v>
      </c>
      <c r="BR8" s="3">
        <f t="shared" si="10"/>
        <v>535</v>
      </c>
      <c r="BS8" s="3">
        <f t="shared" si="10"/>
        <v>535</v>
      </c>
      <c r="BT8" s="3">
        <f t="shared" si="10"/>
        <v>535</v>
      </c>
      <c r="BU8" s="3">
        <f t="shared" si="10"/>
        <v>535</v>
      </c>
      <c r="BV8" s="3">
        <f t="shared" si="10"/>
        <v>535</v>
      </c>
      <c r="BW8" s="3">
        <f t="shared" si="11"/>
        <v>535</v>
      </c>
      <c r="BX8" s="3">
        <f t="shared" si="11"/>
        <v>535</v>
      </c>
      <c r="BY8" s="3">
        <f t="shared" si="11"/>
        <v>535</v>
      </c>
      <c r="BZ8" s="3">
        <f t="shared" si="11"/>
        <v>535</v>
      </c>
      <c r="CA8" s="3">
        <f t="shared" si="11"/>
        <v>535</v>
      </c>
      <c r="CB8" s="3">
        <f t="shared" si="11"/>
        <v>535</v>
      </c>
      <c r="CC8" s="3">
        <f t="shared" si="11"/>
        <v>535</v>
      </c>
      <c r="CD8" s="3">
        <f t="shared" si="11"/>
        <v>535</v>
      </c>
      <c r="CE8" s="3">
        <f t="shared" si="11"/>
        <v>535</v>
      </c>
      <c r="CF8" s="3">
        <f t="shared" si="11"/>
        <v>535</v>
      </c>
      <c r="CG8" s="3">
        <f t="shared" si="12"/>
        <v>535</v>
      </c>
      <c r="CH8" s="3">
        <f t="shared" si="12"/>
        <v>535</v>
      </c>
      <c r="CI8" s="3">
        <f t="shared" si="12"/>
        <v>535</v>
      </c>
      <c r="CJ8" s="3">
        <f t="shared" si="12"/>
        <v>535</v>
      </c>
      <c r="CK8" s="3">
        <f t="shared" si="12"/>
        <v>535</v>
      </c>
      <c r="CL8" s="3">
        <f t="shared" si="12"/>
        <v>535</v>
      </c>
      <c r="CM8" s="3">
        <f t="shared" si="12"/>
        <v>535</v>
      </c>
      <c r="CN8" s="3">
        <f t="shared" si="12"/>
        <v>535</v>
      </c>
      <c r="CO8" s="3">
        <f t="shared" si="12"/>
        <v>535</v>
      </c>
      <c r="CP8" s="3">
        <f t="shared" si="12"/>
        <v>535</v>
      </c>
      <c r="CQ8" s="3">
        <f t="shared" si="13"/>
        <v>535</v>
      </c>
      <c r="CR8" s="3">
        <f t="shared" si="13"/>
        <v>535</v>
      </c>
      <c r="CS8" s="3">
        <f t="shared" si="13"/>
        <v>535</v>
      </c>
      <c r="CT8" s="3">
        <f t="shared" si="13"/>
        <v>535</v>
      </c>
      <c r="CU8" s="3">
        <f t="shared" si="13"/>
        <v>535</v>
      </c>
      <c r="CV8" s="3">
        <f t="shared" si="13"/>
        <v>535</v>
      </c>
      <c r="CW8" s="3">
        <f t="shared" si="13"/>
        <v>535</v>
      </c>
      <c r="CX8" s="3">
        <f t="shared" si="13"/>
        <v>535</v>
      </c>
      <c r="CY8" s="3">
        <f t="shared" si="13"/>
        <v>535</v>
      </c>
      <c r="CZ8" s="3">
        <f t="shared" si="13"/>
        <v>535</v>
      </c>
      <c r="DA8" s="3">
        <f t="shared" si="13"/>
        <v>535</v>
      </c>
      <c r="DB8" s="3">
        <f t="shared" si="14"/>
        <v>535</v>
      </c>
    </row>
    <row r="9" spans="1:106" x14ac:dyDescent="0.3">
      <c r="A9" s="3">
        <f>DATOS_MODELO!Y140</f>
        <v>622</v>
      </c>
      <c r="B9" s="3">
        <f>DATOS_MODELO!AA140</f>
        <v>597.18451652142494</v>
      </c>
      <c r="C9" s="15">
        <f t="shared" si="3"/>
        <v>3.9896275689027427E-2</v>
      </c>
      <c r="E9" s="3">
        <f t="shared" si="4"/>
        <v>0</v>
      </c>
      <c r="F9" s="3">
        <f t="shared" si="4"/>
        <v>0</v>
      </c>
      <c r="G9" s="3">
        <f t="shared" si="4"/>
        <v>0</v>
      </c>
      <c r="H9" s="3">
        <f t="shared" si="4"/>
        <v>0</v>
      </c>
      <c r="I9" s="3">
        <f t="shared" si="4"/>
        <v>622</v>
      </c>
      <c r="J9" s="3">
        <f t="shared" si="4"/>
        <v>622</v>
      </c>
      <c r="K9" s="3">
        <f t="shared" si="4"/>
        <v>622</v>
      </c>
      <c r="L9" s="3">
        <f t="shared" si="4"/>
        <v>622</v>
      </c>
      <c r="M9" s="3">
        <f t="shared" si="4"/>
        <v>622</v>
      </c>
      <c r="N9" s="3">
        <f t="shared" si="4"/>
        <v>622</v>
      </c>
      <c r="O9" s="3">
        <f t="shared" si="5"/>
        <v>622</v>
      </c>
      <c r="P9" s="3">
        <f t="shared" si="5"/>
        <v>622</v>
      </c>
      <c r="Q9" s="3">
        <f t="shared" si="5"/>
        <v>622</v>
      </c>
      <c r="R9" s="3">
        <f t="shared" si="5"/>
        <v>622</v>
      </c>
      <c r="S9" s="3">
        <f t="shared" si="5"/>
        <v>622</v>
      </c>
      <c r="T9" s="3">
        <f t="shared" si="5"/>
        <v>622</v>
      </c>
      <c r="U9" s="3">
        <f t="shared" si="5"/>
        <v>622</v>
      </c>
      <c r="V9" s="3">
        <f t="shared" si="5"/>
        <v>622</v>
      </c>
      <c r="W9" s="3">
        <f t="shared" si="5"/>
        <v>622</v>
      </c>
      <c r="X9" s="3">
        <f t="shared" si="5"/>
        <v>622</v>
      </c>
      <c r="Y9" s="3">
        <f t="shared" si="6"/>
        <v>622</v>
      </c>
      <c r="Z9" s="3">
        <f t="shared" si="6"/>
        <v>622</v>
      </c>
      <c r="AA9" s="3">
        <f t="shared" si="6"/>
        <v>622</v>
      </c>
      <c r="AB9" s="3">
        <f t="shared" si="6"/>
        <v>622</v>
      </c>
      <c r="AC9" s="3">
        <f t="shared" si="6"/>
        <v>622</v>
      </c>
      <c r="AD9" s="3">
        <f t="shared" si="6"/>
        <v>622</v>
      </c>
      <c r="AE9" s="3">
        <f t="shared" si="6"/>
        <v>622</v>
      </c>
      <c r="AF9" s="3">
        <f t="shared" si="6"/>
        <v>622</v>
      </c>
      <c r="AG9" s="3">
        <f t="shared" si="6"/>
        <v>622</v>
      </c>
      <c r="AH9" s="3">
        <f t="shared" si="6"/>
        <v>622</v>
      </c>
      <c r="AI9" s="3">
        <f t="shared" si="7"/>
        <v>622</v>
      </c>
      <c r="AJ9" s="3">
        <f t="shared" si="7"/>
        <v>622</v>
      </c>
      <c r="AK9" s="3">
        <f t="shared" si="7"/>
        <v>622</v>
      </c>
      <c r="AL9" s="3">
        <f t="shared" si="7"/>
        <v>622</v>
      </c>
      <c r="AM9" s="3">
        <f t="shared" si="7"/>
        <v>622</v>
      </c>
      <c r="AN9" s="3">
        <f t="shared" si="7"/>
        <v>622</v>
      </c>
      <c r="AO9" s="3">
        <f t="shared" si="7"/>
        <v>622</v>
      </c>
      <c r="AP9" s="3">
        <f t="shared" si="7"/>
        <v>622</v>
      </c>
      <c r="AQ9" s="3">
        <f t="shared" si="7"/>
        <v>622</v>
      </c>
      <c r="AR9" s="3">
        <f t="shared" si="7"/>
        <v>622</v>
      </c>
      <c r="AS9" s="3">
        <f t="shared" si="8"/>
        <v>622</v>
      </c>
      <c r="AT9" s="3">
        <f t="shared" si="8"/>
        <v>622</v>
      </c>
      <c r="AU9" s="3">
        <f t="shared" si="8"/>
        <v>622</v>
      </c>
      <c r="AV9" s="3">
        <f t="shared" si="8"/>
        <v>622</v>
      </c>
      <c r="AW9" s="3">
        <f t="shared" si="8"/>
        <v>622</v>
      </c>
      <c r="AX9" s="3">
        <f t="shared" si="8"/>
        <v>622</v>
      </c>
      <c r="AY9" s="3">
        <f t="shared" si="8"/>
        <v>622</v>
      </c>
      <c r="AZ9" s="3">
        <f t="shared" si="8"/>
        <v>622</v>
      </c>
      <c r="BA9" s="3">
        <f t="shared" si="8"/>
        <v>622</v>
      </c>
      <c r="BB9" s="3">
        <f t="shared" si="8"/>
        <v>622</v>
      </c>
      <c r="BC9" s="3">
        <f t="shared" si="9"/>
        <v>622</v>
      </c>
      <c r="BD9" s="3">
        <f t="shared" si="9"/>
        <v>622</v>
      </c>
      <c r="BE9" s="3">
        <f t="shared" si="9"/>
        <v>622</v>
      </c>
      <c r="BF9" s="3">
        <f t="shared" si="9"/>
        <v>622</v>
      </c>
      <c r="BG9" s="3">
        <f t="shared" si="9"/>
        <v>622</v>
      </c>
      <c r="BH9" s="3">
        <f t="shared" si="9"/>
        <v>622</v>
      </c>
      <c r="BI9" s="3">
        <f t="shared" si="9"/>
        <v>622</v>
      </c>
      <c r="BJ9" s="3">
        <f t="shared" si="9"/>
        <v>622</v>
      </c>
      <c r="BK9" s="3">
        <f t="shared" si="9"/>
        <v>622</v>
      </c>
      <c r="BL9" s="3">
        <f t="shared" si="9"/>
        <v>622</v>
      </c>
      <c r="BM9" s="3">
        <f t="shared" si="10"/>
        <v>622</v>
      </c>
      <c r="BN9" s="3">
        <f t="shared" si="10"/>
        <v>622</v>
      </c>
      <c r="BO9" s="3">
        <f t="shared" si="10"/>
        <v>622</v>
      </c>
      <c r="BP9" s="3">
        <f t="shared" si="10"/>
        <v>622</v>
      </c>
      <c r="BQ9" s="3">
        <f t="shared" si="10"/>
        <v>622</v>
      </c>
      <c r="BR9" s="3">
        <f t="shared" si="10"/>
        <v>622</v>
      </c>
      <c r="BS9" s="3">
        <f t="shared" si="10"/>
        <v>622</v>
      </c>
      <c r="BT9" s="3">
        <f t="shared" si="10"/>
        <v>622</v>
      </c>
      <c r="BU9" s="3">
        <f t="shared" si="10"/>
        <v>622</v>
      </c>
      <c r="BV9" s="3">
        <f t="shared" si="10"/>
        <v>622</v>
      </c>
      <c r="BW9" s="3">
        <f t="shared" si="11"/>
        <v>622</v>
      </c>
      <c r="BX9" s="3">
        <f t="shared" si="11"/>
        <v>622</v>
      </c>
      <c r="BY9" s="3">
        <f t="shared" si="11"/>
        <v>622</v>
      </c>
      <c r="BZ9" s="3">
        <f t="shared" si="11"/>
        <v>622</v>
      </c>
      <c r="CA9" s="3">
        <f t="shared" si="11"/>
        <v>622</v>
      </c>
      <c r="CB9" s="3">
        <f t="shared" si="11"/>
        <v>622</v>
      </c>
      <c r="CC9" s="3">
        <f t="shared" si="11"/>
        <v>622</v>
      </c>
      <c r="CD9" s="3">
        <f t="shared" si="11"/>
        <v>622</v>
      </c>
      <c r="CE9" s="3">
        <f t="shared" si="11"/>
        <v>622</v>
      </c>
      <c r="CF9" s="3">
        <f t="shared" si="11"/>
        <v>622</v>
      </c>
      <c r="CG9" s="3">
        <f t="shared" si="12"/>
        <v>622</v>
      </c>
      <c r="CH9" s="3">
        <f t="shared" si="12"/>
        <v>622</v>
      </c>
      <c r="CI9" s="3">
        <f t="shared" si="12"/>
        <v>622</v>
      </c>
      <c r="CJ9" s="3">
        <f t="shared" si="12"/>
        <v>622</v>
      </c>
      <c r="CK9" s="3">
        <f t="shared" si="12"/>
        <v>622</v>
      </c>
      <c r="CL9" s="3">
        <f t="shared" si="12"/>
        <v>622</v>
      </c>
      <c r="CM9" s="3">
        <f t="shared" si="12"/>
        <v>622</v>
      </c>
      <c r="CN9" s="3">
        <f t="shared" si="12"/>
        <v>622</v>
      </c>
      <c r="CO9" s="3">
        <f t="shared" si="12"/>
        <v>622</v>
      </c>
      <c r="CP9" s="3">
        <f t="shared" si="12"/>
        <v>622</v>
      </c>
      <c r="CQ9" s="3">
        <f t="shared" si="13"/>
        <v>622</v>
      </c>
      <c r="CR9" s="3">
        <f t="shared" si="13"/>
        <v>622</v>
      </c>
      <c r="CS9" s="3">
        <f t="shared" si="13"/>
        <v>622</v>
      </c>
      <c r="CT9" s="3">
        <f t="shared" si="13"/>
        <v>622</v>
      </c>
      <c r="CU9" s="3">
        <f t="shared" si="13"/>
        <v>622</v>
      </c>
      <c r="CV9" s="3">
        <f t="shared" si="13"/>
        <v>622</v>
      </c>
      <c r="CW9" s="3">
        <f t="shared" si="13"/>
        <v>622</v>
      </c>
      <c r="CX9" s="3">
        <f t="shared" si="13"/>
        <v>622</v>
      </c>
      <c r="CY9" s="3">
        <f t="shared" si="13"/>
        <v>622</v>
      </c>
      <c r="CZ9" s="3">
        <f t="shared" si="13"/>
        <v>622</v>
      </c>
      <c r="DA9" s="3">
        <f t="shared" si="13"/>
        <v>622</v>
      </c>
      <c r="DB9" s="3">
        <f t="shared" si="14"/>
        <v>622</v>
      </c>
    </row>
    <row r="10" spans="1:106" x14ac:dyDescent="0.3">
      <c r="A10" s="3">
        <f>DATOS_MODELO!Y141</f>
        <v>606</v>
      </c>
      <c r="B10" s="3">
        <f>DATOS_MODELO!AA141</f>
        <v>608.86661638101191</v>
      </c>
      <c r="C10" s="15">
        <f t="shared" si="3"/>
        <v>4.7303900676765043E-3</v>
      </c>
      <c r="E10" s="3">
        <f t="shared" si="4"/>
        <v>0</v>
      </c>
      <c r="F10" s="3">
        <f t="shared" si="4"/>
        <v>606</v>
      </c>
      <c r="G10" s="3">
        <f t="shared" si="4"/>
        <v>606</v>
      </c>
      <c r="H10" s="3">
        <f t="shared" si="4"/>
        <v>606</v>
      </c>
      <c r="I10" s="3">
        <f t="shared" si="4"/>
        <v>606</v>
      </c>
      <c r="J10" s="3">
        <f t="shared" si="4"/>
        <v>606</v>
      </c>
      <c r="K10" s="3">
        <f t="shared" si="4"/>
        <v>606</v>
      </c>
      <c r="L10" s="3">
        <f t="shared" si="4"/>
        <v>606</v>
      </c>
      <c r="M10" s="3">
        <f t="shared" si="4"/>
        <v>606</v>
      </c>
      <c r="N10" s="3">
        <f t="shared" si="4"/>
        <v>606</v>
      </c>
      <c r="O10" s="3">
        <f t="shared" si="5"/>
        <v>606</v>
      </c>
      <c r="P10" s="3">
        <f t="shared" si="5"/>
        <v>606</v>
      </c>
      <c r="Q10" s="3">
        <f t="shared" si="5"/>
        <v>606</v>
      </c>
      <c r="R10" s="3">
        <f t="shared" si="5"/>
        <v>606</v>
      </c>
      <c r="S10" s="3">
        <f t="shared" si="5"/>
        <v>606</v>
      </c>
      <c r="T10" s="3">
        <f t="shared" si="5"/>
        <v>606</v>
      </c>
      <c r="U10" s="3">
        <f t="shared" si="5"/>
        <v>606</v>
      </c>
      <c r="V10" s="3">
        <f t="shared" si="5"/>
        <v>606</v>
      </c>
      <c r="W10" s="3">
        <f t="shared" si="5"/>
        <v>606</v>
      </c>
      <c r="X10" s="3">
        <f t="shared" si="5"/>
        <v>606</v>
      </c>
      <c r="Y10" s="3">
        <f t="shared" si="6"/>
        <v>606</v>
      </c>
      <c r="Z10" s="3">
        <f t="shared" si="6"/>
        <v>606</v>
      </c>
      <c r="AA10" s="3">
        <f t="shared" si="6"/>
        <v>606</v>
      </c>
      <c r="AB10" s="3">
        <f t="shared" si="6"/>
        <v>606</v>
      </c>
      <c r="AC10" s="3">
        <f t="shared" si="6"/>
        <v>606</v>
      </c>
      <c r="AD10" s="3">
        <f t="shared" si="6"/>
        <v>606</v>
      </c>
      <c r="AE10" s="3">
        <f t="shared" si="6"/>
        <v>606</v>
      </c>
      <c r="AF10" s="3">
        <f t="shared" si="6"/>
        <v>606</v>
      </c>
      <c r="AG10" s="3">
        <f t="shared" si="6"/>
        <v>606</v>
      </c>
      <c r="AH10" s="3">
        <f t="shared" si="6"/>
        <v>606</v>
      </c>
      <c r="AI10" s="3">
        <f t="shared" si="7"/>
        <v>606</v>
      </c>
      <c r="AJ10" s="3">
        <f t="shared" si="7"/>
        <v>606</v>
      </c>
      <c r="AK10" s="3">
        <f t="shared" si="7"/>
        <v>606</v>
      </c>
      <c r="AL10" s="3">
        <f t="shared" si="7"/>
        <v>606</v>
      </c>
      <c r="AM10" s="3">
        <f t="shared" si="7"/>
        <v>606</v>
      </c>
      <c r="AN10" s="3">
        <f t="shared" si="7"/>
        <v>606</v>
      </c>
      <c r="AO10" s="3">
        <f t="shared" si="7"/>
        <v>606</v>
      </c>
      <c r="AP10" s="3">
        <f t="shared" si="7"/>
        <v>606</v>
      </c>
      <c r="AQ10" s="3">
        <f t="shared" si="7"/>
        <v>606</v>
      </c>
      <c r="AR10" s="3">
        <f t="shared" si="7"/>
        <v>606</v>
      </c>
      <c r="AS10" s="3">
        <f t="shared" si="8"/>
        <v>606</v>
      </c>
      <c r="AT10" s="3">
        <f t="shared" si="8"/>
        <v>606</v>
      </c>
      <c r="AU10" s="3">
        <f t="shared" si="8"/>
        <v>606</v>
      </c>
      <c r="AV10" s="3">
        <f t="shared" si="8"/>
        <v>606</v>
      </c>
      <c r="AW10" s="3">
        <f t="shared" si="8"/>
        <v>606</v>
      </c>
      <c r="AX10" s="3">
        <f t="shared" si="8"/>
        <v>606</v>
      </c>
      <c r="AY10" s="3">
        <f t="shared" si="8"/>
        <v>606</v>
      </c>
      <c r="AZ10" s="3">
        <f t="shared" si="8"/>
        <v>606</v>
      </c>
      <c r="BA10" s="3">
        <f t="shared" si="8"/>
        <v>606</v>
      </c>
      <c r="BB10" s="3">
        <f t="shared" si="8"/>
        <v>606</v>
      </c>
      <c r="BC10" s="3">
        <f t="shared" si="9"/>
        <v>606</v>
      </c>
      <c r="BD10" s="3">
        <f t="shared" si="9"/>
        <v>606</v>
      </c>
      <c r="BE10" s="3">
        <f t="shared" si="9"/>
        <v>606</v>
      </c>
      <c r="BF10" s="3">
        <f t="shared" si="9"/>
        <v>606</v>
      </c>
      <c r="BG10" s="3">
        <f t="shared" si="9"/>
        <v>606</v>
      </c>
      <c r="BH10" s="3">
        <f t="shared" si="9"/>
        <v>606</v>
      </c>
      <c r="BI10" s="3">
        <f t="shared" si="9"/>
        <v>606</v>
      </c>
      <c r="BJ10" s="3">
        <f t="shared" si="9"/>
        <v>606</v>
      </c>
      <c r="BK10" s="3">
        <f t="shared" si="9"/>
        <v>606</v>
      </c>
      <c r="BL10" s="3">
        <f t="shared" si="9"/>
        <v>606</v>
      </c>
      <c r="BM10" s="3">
        <f t="shared" si="10"/>
        <v>606</v>
      </c>
      <c r="BN10" s="3">
        <f t="shared" si="10"/>
        <v>606</v>
      </c>
      <c r="BO10" s="3">
        <f t="shared" si="10"/>
        <v>606</v>
      </c>
      <c r="BP10" s="3">
        <f t="shared" si="10"/>
        <v>606</v>
      </c>
      <c r="BQ10" s="3">
        <f t="shared" si="10"/>
        <v>606</v>
      </c>
      <c r="BR10" s="3">
        <f t="shared" si="10"/>
        <v>606</v>
      </c>
      <c r="BS10" s="3">
        <f t="shared" si="10"/>
        <v>606</v>
      </c>
      <c r="BT10" s="3">
        <f t="shared" si="10"/>
        <v>606</v>
      </c>
      <c r="BU10" s="3">
        <f t="shared" si="10"/>
        <v>606</v>
      </c>
      <c r="BV10" s="3">
        <f t="shared" si="10"/>
        <v>606</v>
      </c>
      <c r="BW10" s="3">
        <f t="shared" si="11"/>
        <v>606</v>
      </c>
      <c r="BX10" s="3">
        <f t="shared" si="11"/>
        <v>606</v>
      </c>
      <c r="BY10" s="3">
        <f t="shared" si="11"/>
        <v>606</v>
      </c>
      <c r="BZ10" s="3">
        <f t="shared" si="11"/>
        <v>606</v>
      </c>
      <c r="CA10" s="3">
        <f t="shared" si="11"/>
        <v>606</v>
      </c>
      <c r="CB10" s="3">
        <f t="shared" si="11"/>
        <v>606</v>
      </c>
      <c r="CC10" s="3">
        <f t="shared" si="11"/>
        <v>606</v>
      </c>
      <c r="CD10" s="3">
        <f t="shared" si="11"/>
        <v>606</v>
      </c>
      <c r="CE10" s="3">
        <f t="shared" si="11"/>
        <v>606</v>
      </c>
      <c r="CF10" s="3">
        <f t="shared" si="11"/>
        <v>606</v>
      </c>
      <c r="CG10" s="3">
        <f t="shared" si="12"/>
        <v>606</v>
      </c>
      <c r="CH10" s="3">
        <f t="shared" si="12"/>
        <v>606</v>
      </c>
      <c r="CI10" s="3">
        <f t="shared" si="12"/>
        <v>606</v>
      </c>
      <c r="CJ10" s="3">
        <f t="shared" si="12"/>
        <v>606</v>
      </c>
      <c r="CK10" s="3">
        <f t="shared" si="12"/>
        <v>606</v>
      </c>
      <c r="CL10" s="3">
        <f t="shared" si="12"/>
        <v>606</v>
      </c>
      <c r="CM10" s="3">
        <f t="shared" si="12"/>
        <v>606</v>
      </c>
      <c r="CN10" s="3">
        <f t="shared" si="12"/>
        <v>606</v>
      </c>
      <c r="CO10" s="3">
        <f t="shared" si="12"/>
        <v>606</v>
      </c>
      <c r="CP10" s="3">
        <f t="shared" si="12"/>
        <v>606</v>
      </c>
      <c r="CQ10" s="3">
        <f t="shared" si="13"/>
        <v>606</v>
      </c>
      <c r="CR10" s="3">
        <f t="shared" si="13"/>
        <v>606</v>
      </c>
      <c r="CS10" s="3">
        <f t="shared" si="13"/>
        <v>606</v>
      </c>
      <c r="CT10" s="3">
        <f t="shared" si="13"/>
        <v>606</v>
      </c>
      <c r="CU10" s="3">
        <f t="shared" si="13"/>
        <v>606</v>
      </c>
      <c r="CV10" s="3">
        <f t="shared" si="13"/>
        <v>606</v>
      </c>
      <c r="CW10" s="3">
        <f t="shared" si="13"/>
        <v>606</v>
      </c>
      <c r="CX10" s="3">
        <f t="shared" si="13"/>
        <v>606</v>
      </c>
      <c r="CY10" s="3">
        <f t="shared" si="13"/>
        <v>606</v>
      </c>
      <c r="CZ10" s="3">
        <f t="shared" si="13"/>
        <v>606</v>
      </c>
      <c r="DA10" s="3">
        <f t="shared" si="13"/>
        <v>606</v>
      </c>
      <c r="DB10" s="3">
        <f t="shared" si="14"/>
        <v>606</v>
      </c>
    </row>
    <row r="11" spans="1:106" x14ac:dyDescent="0.3">
      <c r="A11" s="3">
        <f>DATOS_MODELO!Y142</f>
        <v>508</v>
      </c>
      <c r="B11" s="3">
        <f>DATOS_MODELO!AA142</f>
        <v>526.74536029505771</v>
      </c>
      <c r="C11" s="15">
        <f t="shared" si="3"/>
        <v>3.6900315541452233E-2</v>
      </c>
      <c r="E11" s="3">
        <f t="shared" si="4"/>
        <v>0</v>
      </c>
      <c r="F11" s="3">
        <f t="shared" si="4"/>
        <v>0</v>
      </c>
      <c r="G11" s="3">
        <f t="shared" si="4"/>
        <v>0</v>
      </c>
      <c r="H11" s="3">
        <f t="shared" si="4"/>
        <v>0</v>
      </c>
      <c r="I11" s="3">
        <f t="shared" si="4"/>
        <v>508</v>
      </c>
      <c r="J11" s="3">
        <f t="shared" si="4"/>
        <v>508</v>
      </c>
      <c r="K11" s="3">
        <f t="shared" si="4"/>
        <v>508</v>
      </c>
      <c r="L11" s="3">
        <f t="shared" si="4"/>
        <v>508</v>
      </c>
      <c r="M11" s="3">
        <f t="shared" si="4"/>
        <v>508</v>
      </c>
      <c r="N11" s="3">
        <f t="shared" si="4"/>
        <v>508</v>
      </c>
      <c r="O11" s="3">
        <f t="shared" si="5"/>
        <v>508</v>
      </c>
      <c r="P11" s="3">
        <f t="shared" si="5"/>
        <v>508</v>
      </c>
      <c r="Q11" s="3">
        <f t="shared" si="5"/>
        <v>508</v>
      </c>
      <c r="R11" s="3">
        <f t="shared" si="5"/>
        <v>508</v>
      </c>
      <c r="S11" s="3">
        <f t="shared" si="5"/>
        <v>508</v>
      </c>
      <c r="T11" s="3">
        <f t="shared" si="5"/>
        <v>508</v>
      </c>
      <c r="U11" s="3">
        <f t="shared" si="5"/>
        <v>508</v>
      </c>
      <c r="V11" s="3">
        <f t="shared" si="5"/>
        <v>508</v>
      </c>
      <c r="W11" s="3">
        <f t="shared" si="5"/>
        <v>508</v>
      </c>
      <c r="X11" s="3">
        <f t="shared" si="5"/>
        <v>508</v>
      </c>
      <c r="Y11" s="3">
        <f t="shared" si="6"/>
        <v>508</v>
      </c>
      <c r="Z11" s="3">
        <f t="shared" si="6"/>
        <v>508</v>
      </c>
      <c r="AA11" s="3">
        <f t="shared" si="6"/>
        <v>508</v>
      </c>
      <c r="AB11" s="3">
        <f t="shared" si="6"/>
        <v>508</v>
      </c>
      <c r="AC11" s="3">
        <f t="shared" si="6"/>
        <v>508</v>
      </c>
      <c r="AD11" s="3">
        <f t="shared" si="6"/>
        <v>508</v>
      </c>
      <c r="AE11" s="3">
        <f t="shared" si="6"/>
        <v>508</v>
      </c>
      <c r="AF11" s="3">
        <f t="shared" si="6"/>
        <v>508</v>
      </c>
      <c r="AG11" s="3">
        <f t="shared" si="6"/>
        <v>508</v>
      </c>
      <c r="AH11" s="3">
        <f t="shared" si="6"/>
        <v>508</v>
      </c>
      <c r="AI11" s="3">
        <f t="shared" si="7"/>
        <v>508</v>
      </c>
      <c r="AJ11" s="3">
        <f t="shared" si="7"/>
        <v>508</v>
      </c>
      <c r="AK11" s="3">
        <f t="shared" si="7"/>
        <v>508</v>
      </c>
      <c r="AL11" s="3">
        <f t="shared" si="7"/>
        <v>508</v>
      </c>
      <c r="AM11" s="3">
        <f t="shared" si="7"/>
        <v>508</v>
      </c>
      <c r="AN11" s="3">
        <f t="shared" si="7"/>
        <v>508</v>
      </c>
      <c r="AO11" s="3">
        <f t="shared" si="7"/>
        <v>508</v>
      </c>
      <c r="AP11" s="3">
        <f t="shared" si="7"/>
        <v>508</v>
      </c>
      <c r="AQ11" s="3">
        <f t="shared" si="7"/>
        <v>508</v>
      </c>
      <c r="AR11" s="3">
        <f t="shared" si="7"/>
        <v>508</v>
      </c>
      <c r="AS11" s="3">
        <f t="shared" si="8"/>
        <v>508</v>
      </c>
      <c r="AT11" s="3">
        <f t="shared" si="8"/>
        <v>508</v>
      </c>
      <c r="AU11" s="3">
        <f t="shared" si="8"/>
        <v>508</v>
      </c>
      <c r="AV11" s="3">
        <f t="shared" si="8"/>
        <v>508</v>
      </c>
      <c r="AW11" s="3">
        <f t="shared" si="8"/>
        <v>508</v>
      </c>
      <c r="AX11" s="3">
        <f t="shared" si="8"/>
        <v>508</v>
      </c>
      <c r="AY11" s="3">
        <f t="shared" si="8"/>
        <v>508</v>
      </c>
      <c r="AZ11" s="3">
        <f t="shared" si="8"/>
        <v>508</v>
      </c>
      <c r="BA11" s="3">
        <f t="shared" si="8"/>
        <v>508</v>
      </c>
      <c r="BB11" s="3">
        <f t="shared" si="8"/>
        <v>508</v>
      </c>
      <c r="BC11" s="3">
        <f t="shared" si="9"/>
        <v>508</v>
      </c>
      <c r="BD11" s="3">
        <f t="shared" si="9"/>
        <v>508</v>
      </c>
      <c r="BE11" s="3">
        <f t="shared" si="9"/>
        <v>508</v>
      </c>
      <c r="BF11" s="3">
        <f t="shared" si="9"/>
        <v>508</v>
      </c>
      <c r="BG11" s="3">
        <f t="shared" si="9"/>
        <v>508</v>
      </c>
      <c r="BH11" s="3">
        <f t="shared" si="9"/>
        <v>508</v>
      </c>
      <c r="BI11" s="3">
        <f t="shared" si="9"/>
        <v>508</v>
      </c>
      <c r="BJ11" s="3">
        <f t="shared" si="9"/>
        <v>508</v>
      </c>
      <c r="BK11" s="3">
        <f t="shared" si="9"/>
        <v>508</v>
      </c>
      <c r="BL11" s="3">
        <f t="shared" si="9"/>
        <v>508</v>
      </c>
      <c r="BM11" s="3">
        <f t="shared" si="10"/>
        <v>508</v>
      </c>
      <c r="BN11" s="3">
        <f t="shared" si="10"/>
        <v>508</v>
      </c>
      <c r="BO11" s="3">
        <f t="shared" si="10"/>
        <v>508</v>
      </c>
      <c r="BP11" s="3">
        <f t="shared" si="10"/>
        <v>508</v>
      </c>
      <c r="BQ11" s="3">
        <f t="shared" si="10"/>
        <v>508</v>
      </c>
      <c r="BR11" s="3">
        <f t="shared" si="10"/>
        <v>508</v>
      </c>
      <c r="BS11" s="3">
        <f t="shared" si="10"/>
        <v>508</v>
      </c>
      <c r="BT11" s="3">
        <f t="shared" si="10"/>
        <v>508</v>
      </c>
      <c r="BU11" s="3">
        <f t="shared" si="10"/>
        <v>508</v>
      </c>
      <c r="BV11" s="3">
        <f t="shared" si="10"/>
        <v>508</v>
      </c>
      <c r="BW11" s="3">
        <f t="shared" si="11"/>
        <v>508</v>
      </c>
      <c r="BX11" s="3">
        <f t="shared" si="11"/>
        <v>508</v>
      </c>
      <c r="BY11" s="3">
        <f t="shared" si="11"/>
        <v>508</v>
      </c>
      <c r="BZ11" s="3">
        <f t="shared" si="11"/>
        <v>508</v>
      </c>
      <c r="CA11" s="3">
        <f t="shared" si="11"/>
        <v>508</v>
      </c>
      <c r="CB11" s="3">
        <f t="shared" si="11"/>
        <v>508</v>
      </c>
      <c r="CC11" s="3">
        <f t="shared" si="11"/>
        <v>508</v>
      </c>
      <c r="CD11" s="3">
        <f t="shared" si="11"/>
        <v>508</v>
      </c>
      <c r="CE11" s="3">
        <f t="shared" si="11"/>
        <v>508</v>
      </c>
      <c r="CF11" s="3">
        <f t="shared" si="11"/>
        <v>508</v>
      </c>
      <c r="CG11" s="3">
        <f t="shared" si="12"/>
        <v>508</v>
      </c>
      <c r="CH11" s="3">
        <f t="shared" si="12"/>
        <v>508</v>
      </c>
      <c r="CI11" s="3">
        <f t="shared" si="12"/>
        <v>508</v>
      </c>
      <c r="CJ11" s="3">
        <f t="shared" si="12"/>
        <v>508</v>
      </c>
      <c r="CK11" s="3">
        <f t="shared" si="12"/>
        <v>508</v>
      </c>
      <c r="CL11" s="3">
        <f t="shared" si="12"/>
        <v>508</v>
      </c>
      <c r="CM11" s="3">
        <f t="shared" si="12"/>
        <v>508</v>
      </c>
      <c r="CN11" s="3">
        <f t="shared" si="12"/>
        <v>508</v>
      </c>
      <c r="CO11" s="3">
        <f t="shared" si="12"/>
        <v>508</v>
      </c>
      <c r="CP11" s="3">
        <f t="shared" si="12"/>
        <v>508</v>
      </c>
      <c r="CQ11" s="3">
        <f t="shared" si="13"/>
        <v>508</v>
      </c>
      <c r="CR11" s="3">
        <f t="shared" si="13"/>
        <v>508</v>
      </c>
      <c r="CS11" s="3">
        <f t="shared" si="13"/>
        <v>508</v>
      </c>
      <c r="CT11" s="3">
        <f t="shared" si="13"/>
        <v>508</v>
      </c>
      <c r="CU11" s="3">
        <f t="shared" si="13"/>
        <v>508</v>
      </c>
      <c r="CV11" s="3">
        <f t="shared" si="13"/>
        <v>508</v>
      </c>
      <c r="CW11" s="3">
        <f t="shared" si="13"/>
        <v>508</v>
      </c>
      <c r="CX11" s="3">
        <f t="shared" si="13"/>
        <v>508</v>
      </c>
      <c r="CY11" s="3">
        <f t="shared" si="13"/>
        <v>508</v>
      </c>
      <c r="CZ11" s="3">
        <f t="shared" si="13"/>
        <v>508</v>
      </c>
      <c r="DA11" s="3">
        <f t="shared" si="13"/>
        <v>508</v>
      </c>
      <c r="DB11" s="3">
        <f t="shared" si="14"/>
        <v>508</v>
      </c>
    </row>
    <row r="12" spans="1:106" x14ac:dyDescent="0.3">
      <c r="A12" s="3">
        <f>DATOS_MODELO!Y143</f>
        <v>461</v>
      </c>
      <c r="B12" s="3">
        <f>DATOS_MODELO!AA143</f>
        <v>456.67731277067361</v>
      </c>
      <c r="C12" s="15">
        <f t="shared" si="3"/>
        <v>9.3767618857405477E-3</v>
      </c>
      <c r="E12" s="3">
        <f t="shared" si="4"/>
        <v>0</v>
      </c>
      <c r="F12" s="3">
        <f t="shared" si="4"/>
        <v>461</v>
      </c>
      <c r="G12" s="3">
        <f t="shared" si="4"/>
        <v>461</v>
      </c>
      <c r="H12" s="3">
        <f t="shared" si="4"/>
        <v>461</v>
      </c>
      <c r="I12" s="3">
        <f t="shared" si="4"/>
        <v>461</v>
      </c>
      <c r="J12" s="3">
        <f t="shared" si="4"/>
        <v>461</v>
      </c>
      <c r="K12" s="3">
        <f t="shared" si="4"/>
        <v>461</v>
      </c>
      <c r="L12" s="3">
        <f t="shared" si="4"/>
        <v>461</v>
      </c>
      <c r="M12" s="3">
        <f t="shared" si="4"/>
        <v>461</v>
      </c>
      <c r="N12" s="3">
        <f t="shared" si="4"/>
        <v>461</v>
      </c>
      <c r="O12" s="3">
        <f t="shared" si="5"/>
        <v>461</v>
      </c>
      <c r="P12" s="3">
        <f t="shared" si="5"/>
        <v>461</v>
      </c>
      <c r="Q12" s="3">
        <f t="shared" si="5"/>
        <v>461</v>
      </c>
      <c r="R12" s="3">
        <f t="shared" si="5"/>
        <v>461</v>
      </c>
      <c r="S12" s="3">
        <f t="shared" si="5"/>
        <v>461</v>
      </c>
      <c r="T12" s="3">
        <f t="shared" si="5"/>
        <v>461</v>
      </c>
      <c r="U12" s="3">
        <f t="shared" si="5"/>
        <v>461</v>
      </c>
      <c r="V12" s="3">
        <f t="shared" si="5"/>
        <v>461</v>
      </c>
      <c r="W12" s="3">
        <f t="shared" si="5"/>
        <v>461</v>
      </c>
      <c r="X12" s="3">
        <f t="shared" si="5"/>
        <v>461</v>
      </c>
      <c r="Y12" s="3">
        <f t="shared" si="6"/>
        <v>461</v>
      </c>
      <c r="Z12" s="3">
        <f t="shared" si="6"/>
        <v>461</v>
      </c>
      <c r="AA12" s="3">
        <f t="shared" si="6"/>
        <v>461</v>
      </c>
      <c r="AB12" s="3">
        <f t="shared" si="6"/>
        <v>461</v>
      </c>
      <c r="AC12" s="3">
        <f t="shared" si="6"/>
        <v>461</v>
      </c>
      <c r="AD12" s="3">
        <f t="shared" si="6"/>
        <v>461</v>
      </c>
      <c r="AE12" s="3">
        <f t="shared" si="6"/>
        <v>461</v>
      </c>
      <c r="AF12" s="3">
        <f t="shared" si="6"/>
        <v>461</v>
      </c>
      <c r="AG12" s="3">
        <f t="shared" si="6"/>
        <v>461</v>
      </c>
      <c r="AH12" s="3">
        <f t="shared" si="6"/>
        <v>461</v>
      </c>
      <c r="AI12" s="3">
        <f t="shared" si="7"/>
        <v>461</v>
      </c>
      <c r="AJ12" s="3">
        <f t="shared" si="7"/>
        <v>461</v>
      </c>
      <c r="AK12" s="3">
        <f t="shared" si="7"/>
        <v>461</v>
      </c>
      <c r="AL12" s="3">
        <f t="shared" si="7"/>
        <v>461</v>
      </c>
      <c r="AM12" s="3">
        <f t="shared" si="7"/>
        <v>461</v>
      </c>
      <c r="AN12" s="3">
        <f t="shared" si="7"/>
        <v>461</v>
      </c>
      <c r="AO12" s="3">
        <f t="shared" si="7"/>
        <v>461</v>
      </c>
      <c r="AP12" s="3">
        <f t="shared" si="7"/>
        <v>461</v>
      </c>
      <c r="AQ12" s="3">
        <f t="shared" si="7"/>
        <v>461</v>
      </c>
      <c r="AR12" s="3">
        <f t="shared" si="7"/>
        <v>461</v>
      </c>
      <c r="AS12" s="3">
        <f t="shared" si="8"/>
        <v>461</v>
      </c>
      <c r="AT12" s="3">
        <f t="shared" si="8"/>
        <v>461</v>
      </c>
      <c r="AU12" s="3">
        <f t="shared" si="8"/>
        <v>461</v>
      </c>
      <c r="AV12" s="3">
        <f t="shared" si="8"/>
        <v>461</v>
      </c>
      <c r="AW12" s="3">
        <f t="shared" si="8"/>
        <v>461</v>
      </c>
      <c r="AX12" s="3">
        <f t="shared" si="8"/>
        <v>461</v>
      </c>
      <c r="AY12" s="3">
        <f t="shared" si="8"/>
        <v>461</v>
      </c>
      <c r="AZ12" s="3">
        <f t="shared" si="8"/>
        <v>461</v>
      </c>
      <c r="BA12" s="3">
        <f t="shared" si="8"/>
        <v>461</v>
      </c>
      <c r="BB12" s="3">
        <f t="shared" si="8"/>
        <v>461</v>
      </c>
      <c r="BC12" s="3">
        <f t="shared" si="9"/>
        <v>461</v>
      </c>
      <c r="BD12" s="3">
        <f t="shared" si="9"/>
        <v>461</v>
      </c>
      <c r="BE12" s="3">
        <f t="shared" si="9"/>
        <v>461</v>
      </c>
      <c r="BF12" s="3">
        <f t="shared" si="9"/>
        <v>461</v>
      </c>
      <c r="BG12" s="3">
        <f t="shared" si="9"/>
        <v>461</v>
      </c>
      <c r="BH12" s="3">
        <f t="shared" si="9"/>
        <v>461</v>
      </c>
      <c r="BI12" s="3">
        <f t="shared" si="9"/>
        <v>461</v>
      </c>
      <c r="BJ12" s="3">
        <f t="shared" si="9"/>
        <v>461</v>
      </c>
      <c r="BK12" s="3">
        <f t="shared" si="9"/>
        <v>461</v>
      </c>
      <c r="BL12" s="3">
        <f t="shared" si="9"/>
        <v>461</v>
      </c>
      <c r="BM12" s="3">
        <f t="shared" si="10"/>
        <v>461</v>
      </c>
      <c r="BN12" s="3">
        <f t="shared" si="10"/>
        <v>461</v>
      </c>
      <c r="BO12" s="3">
        <f t="shared" si="10"/>
        <v>461</v>
      </c>
      <c r="BP12" s="3">
        <f t="shared" si="10"/>
        <v>461</v>
      </c>
      <c r="BQ12" s="3">
        <f t="shared" si="10"/>
        <v>461</v>
      </c>
      <c r="BR12" s="3">
        <f t="shared" si="10"/>
        <v>461</v>
      </c>
      <c r="BS12" s="3">
        <f t="shared" si="10"/>
        <v>461</v>
      </c>
      <c r="BT12" s="3">
        <f t="shared" si="10"/>
        <v>461</v>
      </c>
      <c r="BU12" s="3">
        <f t="shared" si="10"/>
        <v>461</v>
      </c>
      <c r="BV12" s="3">
        <f t="shared" si="10"/>
        <v>461</v>
      </c>
      <c r="BW12" s="3">
        <f t="shared" si="11"/>
        <v>461</v>
      </c>
      <c r="BX12" s="3">
        <f t="shared" si="11"/>
        <v>461</v>
      </c>
      <c r="BY12" s="3">
        <f t="shared" si="11"/>
        <v>461</v>
      </c>
      <c r="BZ12" s="3">
        <f t="shared" si="11"/>
        <v>461</v>
      </c>
      <c r="CA12" s="3">
        <f t="shared" si="11"/>
        <v>461</v>
      </c>
      <c r="CB12" s="3">
        <f t="shared" si="11"/>
        <v>461</v>
      </c>
      <c r="CC12" s="3">
        <f t="shared" si="11"/>
        <v>461</v>
      </c>
      <c r="CD12" s="3">
        <f t="shared" si="11"/>
        <v>461</v>
      </c>
      <c r="CE12" s="3">
        <f t="shared" si="11"/>
        <v>461</v>
      </c>
      <c r="CF12" s="3">
        <f t="shared" si="11"/>
        <v>461</v>
      </c>
      <c r="CG12" s="3">
        <f t="shared" si="12"/>
        <v>461</v>
      </c>
      <c r="CH12" s="3">
        <f t="shared" si="12"/>
        <v>461</v>
      </c>
      <c r="CI12" s="3">
        <f t="shared" si="12"/>
        <v>461</v>
      </c>
      <c r="CJ12" s="3">
        <f t="shared" si="12"/>
        <v>461</v>
      </c>
      <c r="CK12" s="3">
        <f t="shared" si="12"/>
        <v>461</v>
      </c>
      <c r="CL12" s="3">
        <f t="shared" si="12"/>
        <v>461</v>
      </c>
      <c r="CM12" s="3">
        <f t="shared" si="12"/>
        <v>461</v>
      </c>
      <c r="CN12" s="3">
        <f t="shared" si="12"/>
        <v>461</v>
      </c>
      <c r="CO12" s="3">
        <f t="shared" si="12"/>
        <v>461</v>
      </c>
      <c r="CP12" s="3">
        <f t="shared" si="12"/>
        <v>461</v>
      </c>
      <c r="CQ12" s="3">
        <f t="shared" si="13"/>
        <v>461</v>
      </c>
      <c r="CR12" s="3">
        <f t="shared" si="13"/>
        <v>461</v>
      </c>
      <c r="CS12" s="3">
        <f t="shared" si="13"/>
        <v>461</v>
      </c>
      <c r="CT12" s="3">
        <f t="shared" si="13"/>
        <v>461</v>
      </c>
      <c r="CU12" s="3">
        <f t="shared" si="13"/>
        <v>461</v>
      </c>
      <c r="CV12" s="3">
        <f t="shared" si="13"/>
        <v>461</v>
      </c>
      <c r="CW12" s="3">
        <f t="shared" si="13"/>
        <v>461</v>
      </c>
      <c r="CX12" s="3">
        <f t="shared" si="13"/>
        <v>461</v>
      </c>
      <c r="CY12" s="3">
        <f t="shared" si="13"/>
        <v>461</v>
      </c>
      <c r="CZ12" s="3">
        <f t="shared" si="13"/>
        <v>461</v>
      </c>
      <c r="DA12" s="3">
        <f t="shared" si="13"/>
        <v>461</v>
      </c>
      <c r="DB12" s="3">
        <f t="shared" si="14"/>
        <v>461</v>
      </c>
    </row>
    <row r="13" spans="1:106" x14ac:dyDescent="0.3">
      <c r="A13" s="3">
        <f>DATOS_MODELO!Y144</f>
        <v>390</v>
      </c>
      <c r="B13" s="3">
        <f>DATOS_MODELO!AA144</f>
        <v>402.52351505837453</v>
      </c>
      <c r="C13" s="15">
        <f t="shared" si="3"/>
        <v>3.2111577072755138E-2</v>
      </c>
      <c r="E13" s="3">
        <f t="shared" si="4"/>
        <v>0</v>
      </c>
      <c r="F13" s="3">
        <f t="shared" si="4"/>
        <v>0</v>
      </c>
      <c r="G13" s="3">
        <f t="shared" si="4"/>
        <v>0</v>
      </c>
      <c r="H13" s="3">
        <f t="shared" si="4"/>
        <v>0</v>
      </c>
      <c r="I13" s="3">
        <f t="shared" si="4"/>
        <v>390</v>
      </c>
      <c r="J13" s="3">
        <f t="shared" si="4"/>
        <v>390</v>
      </c>
      <c r="K13" s="3">
        <f t="shared" si="4"/>
        <v>390</v>
      </c>
      <c r="L13" s="3">
        <f t="shared" si="4"/>
        <v>390</v>
      </c>
      <c r="M13" s="3">
        <f t="shared" si="4"/>
        <v>390</v>
      </c>
      <c r="N13" s="3">
        <f t="shared" si="4"/>
        <v>390</v>
      </c>
      <c r="O13" s="3">
        <f t="shared" si="5"/>
        <v>390</v>
      </c>
      <c r="P13" s="3">
        <f t="shared" si="5"/>
        <v>390</v>
      </c>
      <c r="Q13" s="3">
        <f t="shared" si="5"/>
        <v>390</v>
      </c>
      <c r="R13" s="3">
        <f t="shared" si="5"/>
        <v>390</v>
      </c>
      <c r="S13" s="3">
        <f t="shared" si="5"/>
        <v>390</v>
      </c>
      <c r="T13" s="3">
        <f t="shared" si="5"/>
        <v>390</v>
      </c>
      <c r="U13" s="3">
        <f t="shared" si="5"/>
        <v>390</v>
      </c>
      <c r="V13" s="3">
        <f t="shared" si="5"/>
        <v>390</v>
      </c>
      <c r="W13" s="3">
        <f t="shared" si="5"/>
        <v>390</v>
      </c>
      <c r="X13" s="3">
        <f t="shared" si="5"/>
        <v>390</v>
      </c>
      <c r="Y13" s="3">
        <f t="shared" si="6"/>
        <v>390</v>
      </c>
      <c r="Z13" s="3">
        <f t="shared" si="6"/>
        <v>390</v>
      </c>
      <c r="AA13" s="3">
        <f t="shared" si="6"/>
        <v>390</v>
      </c>
      <c r="AB13" s="3">
        <f t="shared" si="6"/>
        <v>390</v>
      </c>
      <c r="AC13" s="3">
        <f t="shared" si="6"/>
        <v>390</v>
      </c>
      <c r="AD13" s="3">
        <f t="shared" si="6"/>
        <v>390</v>
      </c>
      <c r="AE13" s="3">
        <f t="shared" si="6"/>
        <v>390</v>
      </c>
      <c r="AF13" s="3">
        <f t="shared" si="6"/>
        <v>390</v>
      </c>
      <c r="AG13" s="3">
        <f t="shared" si="6"/>
        <v>390</v>
      </c>
      <c r="AH13" s="3">
        <f t="shared" si="6"/>
        <v>390</v>
      </c>
      <c r="AI13" s="3">
        <f t="shared" si="7"/>
        <v>390</v>
      </c>
      <c r="AJ13" s="3">
        <f t="shared" si="7"/>
        <v>390</v>
      </c>
      <c r="AK13" s="3">
        <f t="shared" si="7"/>
        <v>390</v>
      </c>
      <c r="AL13" s="3">
        <f t="shared" si="7"/>
        <v>390</v>
      </c>
      <c r="AM13" s="3">
        <f t="shared" si="7"/>
        <v>390</v>
      </c>
      <c r="AN13" s="3">
        <f t="shared" si="7"/>
        <v>390</v>
      </c>
      <c r="AO13" s="3">
        <f t="shared" si="7"/>
        <v>390</v>
      </c>
      <c r="AP13" s="3">
        <f t="shared" si="7"/>
        <v>390</v>
      </c>
      <c r="AQ13" s="3">
        <f t="shared" si="7"/>
        <v>390</v>
      </c>
      <c r="AR13" s="3">
        <f t="shared" si="7"/>
        <v>390</v>
      </c>
      <c r="AS13" s="3">
        <f t="shared" si="8"/>
        <v>390</v>
      </c>
      <c r="AT13" s="3">
        <f t="shared" si="8"/>
        <v>390</v>
      </c>
      <c r="AU13" s="3">
        <f t="shared" si="8"/>
        <v>390</v>
      </c>
      <c r="AV13" s="3">
        <f t="shared" si="8"/>
        <v>390</v>
      </c>
      <c r="AW13" s="3">
        <f t="shared" si="8"/>
        <v>390</v>
      </c>
      <c r="AX13" s="3">
        <f t="shared" si="8"/>
        <v>390</v>
      </c>
      <c r="AY13" s="3">
        <f t="shared" si="8"/>
        <v>390</v>
      </c>
      <c r="AZ13" s="3">
        <f t="shared" si="8"/>
        <v>390</v>
      </c>
      <c r="BA13" s="3">
        <f t="shared" si="8"/>
        <v>390</v>
      </c>
      <c r="BB13" s="3">
        <f t="shared" si="8"/>
        <v>390</v>
      </c>
      <c r="BC13" s="3">
        <f t="shared" si="9"/>
        <v>390</v>
      </c>
      <c r="BD13" s="3">
        <f t="shared" si="9"/>
        <v>390</v>
      </c>
      <c r="BE13" s="3">
        <f t="shared" si="9"/>
        <v>390</v>
      </c>
      <c r="BF13" s="3">
        <f t="shared" si="9"/>
        <v>390</v>
      </c>
      <c r="BG13" s="3">
        <f t="shared" si="9"/>
        <v>390</v>
      </c>
      <c r="BH13" s="3">
        <f t="shared" si="9"/>
        <v>390</v>
      </c>
      <c r="BI13" s="3">
        <f t="shared" si="9"/>
        <v>390</v>
      </c>
      <c r="BJ13" s="3">
        <f t="shared" si="9"/>
        <v>390</v>
      </c>
      <c r="BK13" s="3">
        <f t="shared" si="9"/>
        <v>390</v>
      </c>
      <c r="BL13" s="3">
        <f t="shared" si="9"/>
        <v>390</v>
      </c>
      <c r="BM13" s="3">
        <f t="shared" si="10"/>
        <v>390</v>
      </c>
      <c r="BN13" s="3">
        <f t="shared" si="10"/>
        <v>390</v>
      </c>
      <c r="BO13" s="3">
        <f t="shared" si="10"/>
        <v>390</v>
      </c>
      <c r="BP13" s="3">
        <f t="shared" si="10"/>
        <v>390</v>
      </c>
      <c r="BQ13" s="3">
        <f t="shared" si="10"/>
        <v>390</v>
      </c>
      <c r="BR13" s="3">
        <f t="shared" si="10"/>
        <v>390</v>
      </c>
      <c r="BS13" s="3">
        <f t="shared" si="10"/>
        <v>390</v>
      </c>
      <c r="BT13" s="3">
        <f t="shared" si="10"/>
        <v>390</v>
      </c>
      <c r="BU13" s="3">
        <f t="shared" si="10"/>
        <v>390</v>
      </c>
      <c r="BV13" s="3">
        <f t="shared" si="10"/>
        <v>390</v>
      </c>
      <c r="BW13" s="3">
        <f t="shared" si="11"/>
        <v>390</v>
      </c>
      <c r="BX13" s="3">
        <f t="shared" si="11"/>
        <v>390</v>
      </c>
      <c r="BY13" s="3">
        <f t="shared" si="11"/>
        <v>390</v>
      </c>
      <c r="BZ13" s="3">
        <f t="shared" si="11"/>
        <v>390</v>
      </c>
      <c r="CA13" s="3">
        <f t="shared" si="11"/>
        <v>390</v>
      </c>
      <c r="CB13" s="3">
        <f t="shared" si="11"/>
        <v>390</v>
      </c>
      <c r="CC13" s="3">
        <f t="shared" si="11"/>
        <v>390</v>
      </c>
      <c r="CD13" s="3">
        <f t="shared" si="11"/>
        <v>390</v>
      </c>
      <c r="CE13" s="3">
        <f t="shared" si="11"/>
        <v>390</v>
      </c>
      <c r="CF13" s="3">
        <f t="shared" si="11"/>
        <v>390</v>
      </c>
      <c r="CG13" s="3">
        <f t="shared" si="12"/>
        <v>390</v>
      </c>
      <c r="CH13" s="3">
        <f t="shared" si="12"/>
        <v>390</v>
      </c>
      <c r="CI13" s="3">
        <f t="shared" si="12"/>
        <v>390</v>
      </c>
      <c r="CJ13" s="3">
        <f t="shared" si="12"/>
        <v>390</v>
      </c>
      <c r="CK13" s="3">
        <f t="shared" si="12"/>
        <v>390</v>
      </c>
      <c r="CL13" s="3">
        <f t="shared" si="12"/>
        <v>390</v>
      </c>
      <c r="CM13" s="3">
        <f t="shared" si="12"/>
        <v>390</v>
      </c>
      <c r="CN13" s="3">
        <f t="shared" si="12"/>
        <v>390</v>
      </c>
      <c r="CO13" s="3">
        <f t="shared" si="12"/>
        <v>390</v>
      </c>
      <c r="CP13" s="3">
        <f t="shared" si="12"/>
        <v>390</v>
      </c>
      <c r="CQ13" s="3">
        <f t="shared" si="13"/>
        <v>390</v>
      </c>
      <c r="CR13" s="3">
        <f t="shared" si="13"/>
        <v>390</v>
      </c>
      <c r="CS13" s="3">
        <f t="shared" si="13"/>
        <v>390</v>
      </c>
      <c r="CT13" s="3">
        <f t="shared" si="13"/>
        <v>390</v>
      </c>
      <c r="CU13" s="3">
        <f t="shared" si="13"/>
        <v>390</v>
      </c>
      <c r="CV13" s="3">
        <f t="shared" si="13"/>
        <v>390</v>
      </c>
      <c r="CW13" s="3">
        <f t="shared" si="13"/>
        <v>390</v>
      </c>
      <c r="CX13" s="3">
        <f t="shared" si="13"/>
        <v>390</v>
      </c>
      <c r="CY13" s="3">
        <f t="shared" si="13"/>
        <v>390</v>
      </c>
      <c r="CZ13" s="3">
        <f t="shared" si="13"/>
        <v>390</v>
      </c>
      <c r="DA13" s="3">
        <f t="shared" si="13"/>
        <v>390</v>
      </c>
      <c r="DB13" s="3">
        <f t="shared" si="14"/>
        <v>390</v>
      </c>
    </row>
    <row r="14" spans="1:106" x14ac:dyDescent="0.3">
      <c r="A14" s="3">
        <f>DATOS_MODELO!Y145</f>
        <v>432</v>
      </c>
      <c r="B14" s="3">
        <f>DATOS_MODELO!AA145</f>
        <v>422.02262747309624</v>
      </c>
      <c r="C14" s="15">
        <f t="shared" si="3"/>
        <v>2.3095769738203153E-2</v>
      </c>
      <c r="E14" s="3">
        <f t="shared" si="4"/>
        <v>0</v>
      </c>
      <c r="F14" s="3">
        <f t="shared" si="4"/>
        <v>0</v>
      </c>
      <c r="G14" s="3">
        <f t="shared" si="4"/>
        <v>0</v>
      </c>
      <c r="H14" s="3">
        <f t="shared" si="4"/>
        <v>432</v>
      </c>
      <c r="I14" s="3">
        <f t="shared" si="4"/>
        <v>432</v>
      </c>
      <c r="J14" s="3">
        <f t="shared" si="4"/>
        <v>432</v>
      </c>
      <c r="K14" s="3">
        <f t="shared" si="4"/>
        <v>432</v>
      </c>
      <c r="L14" s="3">
        <f t="shared" si="4"/>
        <v>432</v>
      </c>
      <c r="M14" s="3">
        <f t="shared" si="4"/>
        <v>432</v>
      </c>
      <c r="N14" s="3">
        <f t="shared" si="4"/>
        <v>432</v>
      </c>
      <c r="O14" s="3">
        <f t="shared" si="5"/>
        <v>432</v>
      </c>
      <c r="P14" s="3">
        <f t="shared" si="5"/>
        <v>432</v>
      </c>
      <c r="Q14" s="3">
        <f t="shared" si="5"/>
        <v>432</v>
      </c>
      <c r="R14" s="3">
        <f t="shared" si="5"/>
        <v>432</v>
      </c>
      <c r="S14" s="3">
        <f t="shared" si="5"/>
        <v>432</v>
      </c>
      <c r="T14" s="3">
        <f t="shared" si="5"/>
        <v>432</v>
      </c>
      <c r="U14" s="3">
        <f t="shared" si="5"/>
        <v>432</v>
      </c>
      <c r="V14" s="3">
        <f t="shared" si="5"/>
        <v>432</v>
      </c>
      <c r="W14" s="3">
        <f t="shared" si="5"/>
        <v>432</v>
      </c>
      <c r="X14" s="3">
        <f t="shared" si="5"/>
        <v>432</v>
      </c>
      <c r="Y14" s="3">
        <f t="shared" si="6"/>
        <v>432</v>
      </c>
      <c r="Z14" s="3">
        <f t="shared" si="6"/>
        <v>432</v>
      </c>
      <c r="AA14" s="3">
        <f t="shared" si="6"/>
        <v>432</v>
      </c>
      <c r="AB14" s="3">
        <f t="shared" si="6"/>
        <v>432</v>
      </c>
      <c r="AC14" s="3">
        <f t="shared" si="6"/>
        <v>432</v>
      </c>
      <c r="AD14" s="3">
        <f t="shared" si="6"/>
        <v>432</v>
      </c>
      <c r="AE14" s="3">
        <f t="shared" si="6"/>
        <v>432</v>
      </c>
      <c r="AF14" s="3">
        <f t="shared" si="6"/>
        <v>432</v>
      </c>
      <c r="AG14" s="3">
        <f t="shared" si="6"/>
        <v>432</v>
      </c>
      <c r="AH14" s="3">
        <f t="shared" si="6"/>
        <v>432</v>
      </c>
      <c r="AI14" s="3">
        <f t="shared" si="7"/>
        <v>432</v>
      </c>
      <c r="AJ14" s="3">
        <f t="shared" si="7"/>
        <v>432</v>
      </c>
      <c r="AK14" s="3">
        <f t="shared" si="7"/>
        <v>432</v>
      </c>
      <c r="AL14" s="3">
        <f t="shared" si="7"/>
        <v>432</v>
      </c>
      <c r="AM14" s="3">
        <f t="shared" si="7"/>
        <v>432</v>
      </c>
      <c r="AN14" s="3">
        <f t="shared" si="7"/>
        <v>432</v>
      </c>
      <c r="AO14" s="3">
        <f t="shared" si="7"/>
        <v>432</v>
      </c>
      <c r="AP14" s="3">
        <f t="shared" si="7"/>
        <v>432</v>
      </c>
      <c r="AQ14" s="3">
        <f t="shared" si="7"/>
        <v>432</v>
      </c>
      <c r="AR14" s="3">
        <f t="shared" si="7"/>
        <v>432</v>
      </c>
      <c r="AS14" s="3">
        <f t="shared" si="8"/>
        <v>432</v>
      </c>
      <c r="AT14" s="3">
        <f t="shared" si="8"/>
        <v>432</v>
      </c>
      <c r="AU14" s="3">
        <f t="shared" si="8"/>
        <v>432</v>
      </c>
      <c r="AV14" s="3">
        <f t="shared" si="8"/>
        <v>432</v>
      </c>
      <c r="AW14" s="3">
        <f t="shared" si="8"/>
        <v>432</v>
      </c>
      <c r="AX14" s="3">
        <f t="shared" si="8"/>
        <v>432</v>
      </c>
      <c r="AY14" s="3">
        <f t="shared" si="8"/>
        <v>432</v>
      </c>
      <c r="AZ14" s="3">
        <f t="shared" si="8"/>
        <v>432</v>
      </c>
      <c r="BA14" s="3">
        <f t="shared" si="8"/>
        <v>432</v>
      </c>
      <c r="BB14" s="3">
        <f t="shared" si="8"/>
        <v>432</v>
      </c>
      <c r="BC14" s="3">
        <f t="shared" si="9"/>
        <v>432</v>
      </c>
      <c r="BD14" s="3">
        <f t="shared" si="9"/>
        <v>432</v>
      </c>
      <c r="BE14" s="3">
        <f t="shared" si="9"/>
        <v>432</v>
      </c>
      <c r="BF14" s="3">
        <f t="shared" si="9"/>
        <v>432</v>
      </c>
      <c r="BG14" s="3">
        <f t="shared" si="9"/>
        <v>432</v>
      </c>
      <c r="BH14" s="3">
        <f t="shared" si="9"/>
        <v>432</v>
      </c>
      <c r="BI14" s="3">
        <f t="shared" si="9"/>
        <v>432</v>
      </c>
      <c r="BJ14" s="3">
        <f t="shared" si="9"/>
        <v>432</v>
      </c>
      <c r="BK14" s="3">
        <f t="shared" si="9"/>
        <v>432</v>
      </c>
      <c r="BL14" s="3">
        <f t="shared" si="9"/>
        <v>432</v>
      </c>
      <c r="BM14" s="3">
        <f t="shared" si="10"/>
        <v>432</v>
      </c>
      <c r="BN14" s="3">
        <f t="shared" si="10"/>
        <v>432</v>
      </c>
      <c r="BO14" s="3">
        <f t="shared" si="10"/>
        <v>432</v>
      </c>
      <c r="BP14" s="3">
        <f t="shared" si="10"/>
        <v>432</v>
      </c>
      <c r="BQ14" s="3">
        <f t="shared" si="10"/>
        <v>432</v>
      </c>
      <c r="BR14" s="3">
        <f t="shared" si="10"/>
        <v>432</v>
      </c>
      <c r="BS14" s="3">
        <f t="shared" si="10"/>
        <v>432</v>
      </c>
      <c r="BT14" s="3">
        <f t="shared" si="10"/>
        <v>432</v>
      </c>
      <c r="BU14" s="3">
        <f t="shared" si="10"/>
        <v>432</v>
      </c>
      <c r="BV14" s="3">
        <f t="shared" si="10"/>
        <v>432</v>
      </c>
      <c r="BW14" s="3">
        <f t="shared" si="11"/>
        <v>432</v>
      </c>
      <c r="BX14" s="3">
        <f t="shared" si="11"/>
        <v>432</v>
      </c>
      <c r="BY14" s="3">
        <f t="shared" si="11"/>
        <v>432</v>
      </c>
      <c r="BZ14" s="3">
        <f t="shared" si="11"/>
        <v>432</v>
      </c>
      <c r="CA14" s="3">
        <f t="shared" si="11"/>
        <v>432</v>
      </c>
      <c r="CB14" s="3">
        <f t="shared" si="11"/>
        <v>432</v>
      </c>
      <c r="CC14" s="3">
        <f t="shared" si="11"/>
        <v>432</v>
      </c>
      <c r="CD14" s="3">
        <f t="shared" si="11"/>
        <v>432</v>
      </c>
      <c r="CE14" s="3">
        <f t="shared" si="11"/>
        <v>432</v>
      </c>
      <c r="CF14" s="3">
        <f t="shared" si="11"/>
        <v>432</v>
      </c>
      <c r="CG14" s="3">
        <f t="shared" si="12"/>
        <v>432</v>
      </c>
      <c r="CH14" s="3">
        <f t="shared" si="12"/>
        <v>432</v>
      </c>
      <c r="CI14" s="3">
        <f t="shared" si="12"/>
        <v>432</v>
      </c>
      <c r="CJ14" s="3">
        <f t="shared" si="12"/>
        <v>432</v>
      </c>
      <c r="CK14" s="3">
        <f t="shared" si="12"/>
        <v>432</v>
      </c>
      <c r="CL14" s="3">
        <f t="shared" si="12"/>
        <v>432</v>
      </c>
      <c r="CM14" s="3">
        <f t="shared" si="12"/>
        <v>432</v>
      </c>
      <c r="CN14" s="3">
        <f t="shared" si="12"/>
        <v>432</v>
      </c>
      <c r="CO14" s="3">
        <f t="shared" si="12"/>
        <v>432</v>
      </c>
      <c r="CP14" s="3">
        <f t="shared" si="12"/>
        <v>432</v>
      </c>
      <c r="CQ14" s="3">
        <f t="shared" si="13"/>
        <v>432</v>
      </c>
      <c r="CR14" s="3">
        <f t="shared" si="13"/>
        <v>432</v>
      </c>
      <c r="CS14" s="3">
        <f t="shared" si="13"/>
        <v>432</v>
      </c>
      <c r="CT14" s="3">
        <f t="shared" si="13"/>
        <v>432</v>
      </c>
      <c r="CU14" s="3">
        <f t="shared" si="13"/>
        <v>432</v>
      </c>
      <c r="CV14" s="3">
        <f t="shared" si="13"/>
        <v>432</v>
      </c>
      <c r="CW14" s="3">
        <f t="shared" si="13"/>
        <v>432</v>
      </c>
      <c r="CX14" s="3">
        <f t="shared" si="13"/>
        <v>432</v>
      </c>
      <c r="CY14" s="3">
        <f t="shared" si="13"/>
        <v>432</v>
      </c>
      <c r="CZ14" s="3">
        <f t="shared" si="13"/>
        <v>432</v>
      </c>
      <c r="DA14" s="3">
        <f t="shared" si="13"/>
        <v>432</v>
      </c>
      <c r="DB14" s="3">
        <f t="shared" si="14"/>
        <v>432</v>
      </c>
    </row>
    <row r="15" spans="1:106" x14ac:dyDescent="0.3">
      <c r="E15" s="16">
        <f t="shared" ref="E15:AJ15" si="15">SUM(E$3:E$14) / SUM($A$3:$A$14)</f>
        <v>0</v>
      </c>
      <c r="F15" s="16">
        <f t="shared" si="15"/>
        <v>0.18673433671683584</v>
      </c>
      <c r="G15" s="16">
        <f t="shared" si="15"/>
        <v>0.34266713335666782</v>
      </c>
      <c r="H15" s="16">
        <f t="shared" si="15"/>
        <v>0.48669933496674833</v>
      </c>
      <c r="I15" s="16">
        <f t="shared" si="15"/>
        <v>0.75271263563178159</v>
      </c>
      <c r="J15" s="16">
        <f t="shared" si="15"/>
        <v>0.84634231711585584</v>
      </c>
      <c r="K15" s="16">
        <f t="shared" si="15"/>
        <v>0.84634231711585584</v>
      </c>
      <c r="L15" s="16">
        <f t="shared" si="15"/>
        <v>0.84634231711585584</v>
      </c>
      <c r="M15" s="16">
        <f t="shared" si="15"/>
        <v>1</v>
      </c>
      <c r="N15" s="16">
        <f t="shared" si="15"/>
        <v>1</v>
      </c>
      <c r="O15" s="16">
        <f t="shared" si="15"/>
        <v>1</v>
      </c>
      <c r="P15" s="16">
        <f t="shared" si="15"/>
        <v>1</v>
      </c>
      <c r="Q15" s="16">
        <f t="shared" si="15"/>
        <v>1</v>
      </c>
      <c r="R15" s="16">
        <f t="shared" si="15"/>
        <v>1</v>
      </c>
      <c r="S15" s="16">
        <f t="shared" si="15"/>
        <v>1</v>
      </c>
      <c r="T15" s="16">
        <f t="shared" si="15"/>
        <v>1</v>
      </c>
      <c r="U15" s="16">
        <f t="shared" si="15"/>
        <v>1</v>
      </c>
      <c r="V15" s="16">
        <f t="shared" si="15"/>
        <v>1</v>
      </c>
      <c r="W15" s="16">
        <f t="shared" si="15"/>
        <v>1</v>
      </c>
      <c r="X15" s="16">
        <f t="shared" si="15"/>
        <v>1</v>
      </c>
      <c r="Y15" s="16">
        <f t="shared" si="15"/>
        <v>1</v>
      </c>
      <c r="Z15" s="16">
        <f t="shared" si="15"/>
        <v>1</v>
      </c>
      <c r="AA15" s="16">
        <f t="shared" si="15"/>
        <v>1</v>
      </c>
      <c r="AB15" s="16">
        <f t="shared" si="15"/>
        <v>1</v>
      </c>
      <c r="AC15" s="16">
        <f t="shared" si="15"/>
        <v>1</v>
      </c>
      <c r="AD15" s="16">
        <f t="shared" si="15"/>
        <v>1</v>
      </c>
      <c r="AE15" s="16">
        <f t="shared" si="15"/>
        <v>1</v>
      </c>
      <c r="AF15" s="16">
        <f t="shared" si="15"/>
        <v>1</v>
      </c>
      <c r="AG15" s="16">
        <f t="shared" si="15"/>
        <v>1</v>
      </c>
      <c r="AH15" s="16">
        <f t="shared" si="15"/>
        <v>1</v>
      </c>
      <c r="AI15" s="16">
        <f t="shared" si="15"/>
        <v>1</v>
      </c>
      <c r="AJ15" s="16">
        <f t="shared" si="15"/>
        <v>1</v>
      </c>
      <c r="AK15" s="16">
        <f t="shared" ref="AK15:BP15" si="16">SUM(AK$3:AK$14) / SUM($A$3:$A$14)</f>
        <v>1</v>
      </c>
      <c r="AL15" s="16">
        <f t="shared" si="16"/>
        <v>1</v>
      </c>
      <c r="AM15" s="16">
        <f t="shared" si="16"/>
        <v>1</v>
      </c>
      <c r="AN15" s="16">
        <f t="shared" si="16"/>
        <v>1</v>
      </c>
      <c r="AO15" s="16">
        <f t="shared" si="16"/>
        <v>1</v>
      </c>
      <c r="AP15" s="16">
        <f t="shared" si="16"/>
        <v>1</v>
      </c>
      <c r="AQ15" s="16">
        <f t="shared" si="16"/>
        <v>1</v>
      </c>
      <c r="AR15" s="16">
        <f t="shared" si="16"/>
        <v>1</v>
      </c>
      <c r="AS15" s="16">
        <f t="shared" si="16"/>
        <v>1</v>
      </c>
      <c r="AT15" s="16">
        <f t="shared" si="16"/>
        <v>1</v>
      </c>
      <c r="AU15" s="16">
        <f t="shared" si="16"/>
        <v>1</v>
      </c>
      <c r="AV15" s="16">
        <f t="shared" si="16"/>
        <v>1</v>
      </c>
      <c r="AW15" s="16">
        <f t="shared" si="16"/>
        <v>1</v>
      </c>
      <c r="AX15" s="16">
        <f t="shared" si="16"/>
        <v>1</v>
      </c>
      <c r="AY15" s="16">
        <f t="shared" si="16"/>
        <v>1</v>
      </c>
      <c r="AZ15" s="16">
        <f t="shared" si="16"/>
        <v>1</v>
      </c>
      <c r="BA15" s="16">
        <f t="shared" si="16"/>
        <v>1</v>
      </c>
      <c r="BB15" s="16">
        <f t="shared" si="16"/>
        <v>1</v>
      </c>
      <c r="BC15" s="16">
        <f t="shared" si="16"/>
        <v>1</v>
      </c>
      <c r="BD15" s="16">
        <f t="shared" si="16"/>
        <v>1</v>
      </c>
      <c r="BE15" s="16">
        <f t="shared" si="16"/>
        <v>1</v>
      </c>
      <c r="BF15" s="16">
        <f t="shared" si="16"/>
        <v>1</v>
      </c>
      <c r="BG15" s="16">
        <f t="shared" si="16"/>
        <v>1</v>
      </c>
      <c r="BH15" s="16">
        <f t="shared" si="16"/>
        <v>1</v>
      </c>
      <c r="BI15" s="16">
        <f t="shared" si="16"/>
        <v>1</v>
      </c>
      <c r="BJ15" s="16">
        <f t="shared" si="16"/>
        <v>1</v>
      </c>
      <c r="BK15" s="16">
        <f t="shared" si="16"/>
        <v>1</v>
      </c>
      <c r="BL15" s="16">
        <f t="shared" si="16"/>
        <v>1</v>
      </c>
      <c r="BM15" s="16">
        <f t="shared" si="16"/>
        <v>1</v>
      </c>
      <c r="BN15" s="16">
        <f t="shared" si="16"/>
        <v>1</v>
      </c>
      <c r="BO15" s="16">
        <f t="shared" si="16"/>
        <v>1</v>
      </c>
      <c r="BP15" s="16">
        <f t="shared" si="16"/>
        <v>1</v>
      </c>
      <c r="BQ15" s="16">
        <f t="shared" ref="BQ15:CV15" si="17">SUM(BQ$3:BQ$14) / SUM($A$3:$A$14)</f>
        <v>1</v>
      </c>
      <c r="BR15" s="16">
        <f t="shared" si="17"/>
        <v>1</v>
      </c>
      <c r="BS15" s="16">
        <f t="shared" si="17"/>
        <v>1</v>
      </c>
      <c r="BT15" s="16">
        <f t="shared" si="17"/>
        <v>1</v>
      </c>
      <c r="BU15" s="16">
        <f t="shared" si="17"/>
        <v>1</v>
      </c>
      <c r="BV15" s="16">
        <f t="shared" si="17"/>
        <v>1</v>
      </c>
      <c r="BW15" s="16">
        <f t="shared" si="17"/>
        <v>1</v>
      </c>
      <c r="BX15" s="16">
        <f t="shared" si="17"/>
        <v>1</v>
      </c>
      <c r="BY15" s="16">
        <f t="shared" si="17"/>
        <v>1</v>
      </c>
      <c r="BZ15" s="16">
        <f t="shared" si="17"/>
        <v>1</v>
      </c>
      <c r="CA15" s="16">
        <f t="shared" si="17"/>
        <v>1</v>
      </c>
      <c r="CB15" s="16">
        <f t="shared" si="17"/>
        <v>1</v>
      </c>
      <c r="CC15" s="16">
        <f t="shared" si="17"/>
        <v>1</v>
      </c>
      <c r="CD15" s="16">
        <f t="shared" si="17"/>
        <v>1</v>
      </c>
      <c r="CE15" s="16">
        <f t="shared" si="17"/>
        <v>1</v>
      </c>
      <c r="CF15" s="16">
        <f t="shared" si="17"/>
        <v>1</v>
      </c>
      <c r="CG15" s="16">
        <f t="shared" si="17"/>
        <v>1</v>
      </c>
      <c r="CH15" s="16">
        <f t="shared" si="17"/>
        <v>1</v>
      </c>
      <c r="CI15" s="16">
        <f t="shared" si="17"/>
        <v>1</v>
      </c>
      <c r="CJ15" s="16">
        <f t="shared" si="17"/>
        <v>1</v>
      </c>
      <c r="CK15" s="16">
        <f t="shared" si="17"/>
        <v>1</v>
      </c>
      <c r="CL15" s="16">
        <f t="shared" si="17"/>
        <v>1</v>
      </c>
      <c r="CM15" s="16">
        <f t="shared" si="17"/>
        <v>1</v>
      </c>
      <c r="CN15" s="16">
        <f t="shared" si="17"/>
        <v>1</v>
      </c>
      <c r="CO15" s="16">
        <f t="shared" si="17"/>
        <v>1</v>
      </c>
      <c r="CP15" s="16">
        <f t="shared" si="17"/>
        <v>1</v>
      </c>
      <c r="CQ15" s="16">
        <f t="shared" si="17"/>
        <v>1</v>
      </c>
      <c r="CR15" s="16">
        <f t="shared" si="17"/>
        <v>1</v>
      </c>
      <c r="CS15" s="16">
        <f t="shared" si="17"/>
        <v>1</v>
      </c>
      <c r="CT15" s="16">
        <f t="shared" si="17"/>
        <v>1</v>
      </c>
      <c r="CU15" s="16">
        <f t="shared" si="17"/>
        <v>1</v>
      </c>
      <c r="CV15" s="16">
        <f t="shared" si="17"/>
        <v>1</v>
      </c>
      <c r="CW15" s="16">
        <f t="shared" ref="CW15:DB15" si="18">SUM(CW$3:CW$14) / SUM($A$3:$A$14)</f>
        <v>1</v>
      </c>
      <c r="CX15" s="16">
        <f t="shared" si="18"/>
        <v>1</v>
      </c>
      <c r="CY15" s="16">
        <f t="shared" si="18"/>
        <v>1</v>
      </c>
      <c r="CZ15" s="16">
        <f t="shared" si="18"/>
        <v>1</v>
      </c>
      <c r="DA15" s="16">
        <f t="shared" si="18"/>
        <v>1</v>
      </c>
      <c r="DB15" s="16">
        <f t="shared" si="18"/>
        <v>1</v>
      </c>
    </row>
  </sheetData>
  <mergeCells count="10">
    <mergeCell ref="CH1:CQ1"/>
    <mergeCell ref="CR1:DA1"/>
    <mergeCell ref="F1:O1"/>
    <mergeCell ref="P1:Y1"/>
    <mergeCell ref="Z1:AI1"/>
    <mergeCell ref="AJ1:AS1"/>
    <mergeCell ref="AT1:BC1"/>
    <mergeCell ref="BD1:BM1"/>
    <mergeCell ref="BN1:BW1"/>
    <mergeCell ref="BX1:CG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DATOS_MODELO</vt:lpstr>
      <vt:lpstr>DATOS_PRONOSTICO</vt:lpstr>
      <vt:lpstr>PRECISIONES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Hinojosa, Miguel</dc:creator>
  <cp:lastModifiedBy>Hinojosa, Miguel</cp:lastModifiedBy>
  <dcterms:created xsi:type="dcterms:W3CDTF">2019-06-04T15:05:56Z</dcterms:created>
  <dcterms:modified xsi:type="dcterms:W3CDTF">2019-06-07T23:57:22Z</dcterms:modified>
</cp:coreProperties>
</file>